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qsolutionsec-my.sharepoint.com/personal/fscavone_eqsoluciones_com/Documents/9. TIC/V. Acompañamiento/Proyectos TI/Dashboard Costos Piscinas/"/>
    </mc:Choice>
  </mc:AlternateContent>
  <xr:revisionPtr revIDLastSave="128" documentId="13_ncr:1_{4C610A5A-FFA0-7F42-934B-2E7132007E0C}" xr6:coauthVersionLast="47" xr6:coauthVersionMax="47" xr10:uidLastSave="{87DCE5FE-57F1-43A1-B06B-2F8F6CD42817}"/>
  <bookViews>
    <workbookView xWindow="-110" yWindow="-110" windowWidth="25820" windowHeight="15500" firstSheet="5" activeTab="5" xr2:uid="{235BDE39-A67A-4016-BF80-DA0763A17478}"/>
  </bookViews>
  <sheets>
    <sheet name="Resumen Gral" sheetId="8" state="hidden" r:id="rId1"/>
    <sheet name="Diagrama Gantt" sheetId="15" state="hidden" r:id="rId2"/>
    <sheet name="Cronograma EQ" sheetId="24" state="hidden" r:id="rId3"/>
    <sheet name="CRONOGRAMA NEXTGEN" sheetId="20" state="hidden" r:id="rId4"/>
    <sheet name="EDT" sheetId="16" state="hidden" r:id="rId5"/>
    <sheet name="Cronograma EQ (1)" sheetId="25" r:id="rId6"/>
    <sheet name="Diagrama Gantt (EQ)" sheetId="21" state="hidden" r:id="rId7"/>
  </sheets>
  <externalReferences>
    <externalReference r:id="rId8"/>
  </externalReferences>
  <definedNames>
    <definedName name="_xlnm._FilterDatabase" localSheetId="5" hidden="1">'Cronograma EQ (1)'!$A$10:$AQ$21</definedName>
    <definedName name="_xlnm._FilterDatabase" localSheetId="1" hidden="1">'Diagrama Gantt'!$A$4:$DO$179</definedName>
    <definedName name="_xlnm._FilterDatabase" localSheetId="6" hidden="1">'Diagrama Gantt (EQ)'!$A$4:$DO$120</definedName>
    <definedName name="_xlnm.Print_Area" localSheetId="2">'Cronograma EQ'!$B$9:$T$26</definedName>
    <definedName name="_xlnm.Print_Area" localSheetId="5">'Cronograma EQ (1)'!$B$9:$T$21</definedName>
    <definedName name="DiasCategorias">#REF!</definedName>
    <definedName name="Fecha">#REF!</definedName>
    <definedName name="FechaInicio">[1]Completo!$B$1</definedName>
    <definedName name="Venta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25" l="1"/>
  <c r="K27" i="25" s="1"/>
  <c r="F21" i="25"/>
  <c r="F20" i="25"/>
  <c r="F19" i="25"/>
  <c r="F18" i="25"/>
  <c r="F17" i="25"/>
  <c r="F16" i="25"/>
  <c r="F15" i="25"/>
  <c r="F14" i="25"/>
  <c r="F13" i="25"/>
  <c r="F12" i="25"/>
  <c r="F11" i="25"/>
  <c r="F37" i="24"/>
  <c r="F38" i="24"/>
  <c r="F39" i="24"/>
  <c r="F40" i="24"/>
  <c r="F41" i="24"/>
  <c r="F42" i="24"/>
  <c r="F43" i="24"/>
  <c r="F44" i="24"/>
  <c r="F45" i="24"/>
  <c r="F46" i="24"/>
  <c r="F36" i="24" l="1"/>
  <c r="F33" i="24"/>
  <c r="F35" i="24"/>
  <c r="F34" i="24"/>
  <c r="F32" i="24"/>
  <c r="F31" i="24"/>
  <c r="F30" i="24"/>
  <c r="F29" i="24"/>
  <c r="F28" i="24"/>
  <c r="F27" i="24"/>
  <c r="F26" i="24"/>
  <c r="F25" i="24"/>
  <c r="F24" i="24"/>
  <c r="F23" i="24"/>
  <c r="F22" i="24"/>
  <c r="F21" i="24"/>
  <c r="F20" i="24"/>
  <c r="F19" i="24"/>
  <c r="F18" i="24"/>
  <c r="F17" i="24"/>
  <c r="F16" i="24"/>
  <c r="F15" i="24"/>
  <c r="F14" i="24"/>
  <c r="F13" i="24"/>
  <c r="F12" i="24"/>
  <c r="F11" i="24"/>
  <c r="K54" i="24"/>
  <c r="K55" i="24" s="1"/>
  <c r="V7" i="21" l="1"/>
  <c r="V6" i="21"/>
  <c r="H99" i="20"/>
  <c r="L99" i="20" s="1"/>
  <c r="P95" i="20"/>
  <c r="O95" i="20"/>
  <c r="J95" i="20"/>
  <c r="P94" i="20"/>
  <c r="O94" i="20"/>
  <c r="J94" i="20"/>
  <c r="P93" i="20"/>
  <c r="O93" i="20"/>
  <c r="J93" i="20"/>
  <c r="P92" i="20"/>
  <c r="O92" i="20"/>
  <c r="N92" i="20"/>
  <c r="J92" i="20"/>
  <c r="P91" i="20"/>
  <c r="O91" i="20"/>
  <c r="J91" i="20"/>
  <c r="P90" i="20"/>
  <c r="O90" i="20"/>
  <c r="J90" i="20"/>
  <c r="P89" i="20"/>
  <c r="O89" i="20"/>
  <c r="N89" i="20"/>
  <c r="J89" i="20"/>
  <c r="P88" i="20"/>
  <c r="O88" i="20"/>
  <c r="J88" i="20"/>
  <c r="J86" i="20" s="1"/>
  <c r="P87" i="20"/>
  <c r="O87" i="20"/>
  <c r="N87" i="20"/>
  <c r="J87" i="20"/>
  <c r="I86" i="20"/>
  <c r="H86" i="20"/>
  <c r="P85" i="20"/>
  <c r="O85" i="20"/>
  <c r="N85" i="20"/>
  <c r="J85" i="20"/>
  <c r="J84" i="20"/>
  <c r="I84" i="20"/>
  <c r="H84" i="20"/>
  <c r="P83" i="20"/>
  <c r="O83" i="20"/>
  <c r="J83" i="20"/>
  <c r="P82" i="20"/>
  <c r="O82" i="20"/>
  <c r="J82" i="20"/>
  <c r="P81" i="20"/>
  <c r="O81" i="20"/>
  <c r="J81" i="20"/>
  <c r="P80" i="20"/>
  <c r="O80" i="20"/>
  <c r="J80" i="20"/>
  <c r="P79" i="20"/>
  <c r="O79" i="20"/>
  <c r="J79" i="20"/>
  <c r="P78" i="20"/>
  <c r="O78" i="20"/>
  <c r="J78" i="20"/>
  <c r="P77" i="20"/>
  <c r="O77" i="20"/>
  <c r="J77" i="20"/>
  <c r="P76" i="20"/>
  <c r="O76" i="20"/>
  <c r="J76" i="20"/>
  <c r="P75" i="20"/>
  <c r="O75" i="20"/>
  <c r="J75" i="20"/>
  <c r="J74" i="20" s="1"/>
  <c r="I74" i="20"/>
  <c r="H74" i="20"/>
  <c r="P73" i="20"/>
  <c r="O73" i="20"/>
  <c r="J73" i="20"/>
  <c r="P72" i="20"/>
  <c r="O72" i="20"/>
  <c r="J72" i="20"/>
  <c r="J71" i="20" s="1"/>
  <c r="I71" i="20"/>
  <c r="I99" i="20" s="1"/>
  <c r="H71" i="20"/>
  <c r="P70" i="20"/>
  <c r="O70" i="20"/>
  <c r="J70" i="20"/>
  <c r="P69" i="20"/>
  <c r="O69" i="20"/>
  <c r="J69" i="20"/>
  <c r="P68" i="20"/>
  <c r="O68" i="20"/>
  <c r="J68" i="20"/>
  <c r="P67" i="20"/>
  <c r="O67" i="20"/>
  <c r="J67" i="20"/>
  <c r="P66" i="20"/>
  <c r="O66" i="20"/>
  <c r="J66" i="20"/>
  <c r="P65" i="20"/>
  <c r="O65" i="20"/>
  <c r="J65" i="20"/>
  <c r="P64" i="20"/>
  <c r="O64" i="20"/>
  <c r="J64" i="20"/>
  <c r="P63" i="20"/>
  <c r="O63" i="20"/>
  <c r="J63" i="20"/>
  <c r="P62" i="20"/>
  <c r="O62" i="20"/>
  <c r="J62" i="20"/>
  <c r="J59" i="20" s="1"/>
  <c r="P61" i="20"/>
  <c r="O61" i="20"/>
  <c r="J61" i="20"/>
  <c r="P60" i="20"/>
  <c r="O60" i="20"/>
  <c r="J60" i="20"/>
  <c r="I59" i="20"/>
  <c r="H59" i="20"/>
  <c r="P58" i="20"/>
  <c r="O58" i="20"/>
  <c r="J58" i="20"/>
  <c r="P57" i="20"/>
  <c r="O57" i="20"/>
  <c r="J57" i="20"/>
  <c r="P56" i="20"/>
  <c r="O56" i="20"/>
  <c r="J56" i="20"/>
  <c r="P55" i="20"/>
  <c r="O55" i="20"/>
  <c r="J55" i="20"/>
  <c r="P54" i="20"/>
  <c r="O54" i="20"/>
  <c r="J54" i="20"/>
  <c r="J52" i="20" s="1"/>
  <c r="P53" i="20"/>
  <c r="O53" i="20"/>
  <c r="J53" i="20"/>
  <c r="I52" i="20"/>
  <c r="H52" i="20"/>
  <c r="P51" i="20"/>
  <c r="O51" i="20"/>
  <c r="J51" i="20"/>
  <c r="J48" i="20" s="1"/>
  <c r="P50" i="20"/>
  <c r="O50" i="20"/>
  <c r="J50" i="20"/>
  <c r="P49" i="20"/>
  <c r="O49" i="20"/>
  <c r="J49" i="20"/>
  <c r="I48" i="20"/>
  <c r="H48" i="20"/>
  <c r="P47" i="20"/>
  <c r="O47" i="20"/>
  <c r="J47" i="20"/>
  <c r="P46" i="20"/>
  <c r="O46" i="20"/>
  <c r="J46" i="20"/>
  <c r="J43" i="20" s="1"/>
  <c r="P45" i="20"/>
  <c r="O45" i="20"/>
  <c r="J45" i="20"/>
  <c r="P44" i="20"/>
  <c r="O44" i="20"/>
  <c r="J44" i="20"/>
  <c r="I43" i="20"/>
  <c r="H43" i="20"/>
  <c r="P42" i="20"/>
  <c r="O42" i="20"/>
  <c r="J42" i="20"/>
  <c r="P41" i="20"/>
  <c r="O41" i="20"/>
  <c r="J41" i="20"/>
  <c r="P40" i="20"/>
  <c r="O40" i="20"/>
  <c r="J40" i="20"/>
  <c r="P39" i="20"/>
  <c r="O39" i="20"/>
  <c r="J39" i="20"/>
  <c r="P38" i="20"/>
  <c r="O38" i="20"/>
  <c r="J38" i="20"/>
  <c r="P37" i="20"/>
  <c r="O37" i="20"/>
  <c r="J37" i="20"/>
  <c r="P36" i="20"/>
  <c r="O36" i="20"/>
  <c r="J36" i="20"/>
  <c r="P35" i="20"/>
  <c r="O35" i="20"/>
  <c r="J35" i="20"/>
  <c r="J34" i="20" s="1"/>
  <c r="P34" i="20"/>
  <c r="I34" i="20"/>
  <c r="H34" i="20"/>
  <c r="P33" i="20"/>
  <c r="O33" i="20"/>
  <c r="J33" i="20"/>
  <c r="P32" i="20"/>
  <c r="O32" i="20"/>
  <c r="J32" i="20"/>
  <c r="P31" i="20"/>
  <c r="O31" i="20"/>
  <c r="J31" i="20"/>
  <c r="P30" i="20"/>
  <c r="O30" i="20"/>
  <c r="J30" i="20"/>
  <c r="P29" i="20"/>
  <c r="O29" i="20"/>
  <c r="J29" i="20"/>
  <c r="P28" i="20"/>
  <c r="O28" i="20"/>
  <c r="J28" i="20"/>
  <c r="P27" i="20"/>
  <c r="J27" i="20"/>
  <c r="I27" i="20"/>
  <c r="H27" i="20"/>
  <c r="P26" i="20"/>
  <c r="O26" i="20"/>
  <c r="J26" i="20"/>
  <c r="P25" i="20"/>
  <c r="O25" i="20"/>
  <c r="J25" i="20"/>
  <c r="J17" i="20" s="1"/>
  <c r="P24" i="20"/>
  <c r="O24" i="20"/>
  <c r="J24" i="20"/>
  <c r="P23" i="20"/>
  <c r="O23" i="20"/>
  <c r="J23" i="20"/>
  <c r="P22" i="20"/>
  <c r="O22" i="20"/>
  <c r="J22" i="20"/>
  <c r="P21" i="20"/>
  <c r="O21" i="20"/>
  <c r="J21" i="20"/>
  <c r="P20" i="20"/>
  <c r="O20" i="20"/>
  <c r="J20" i="20"/>
  <c r="P19" i="20"/>
  <c r="O19" i="20"/>
  <c r="J19" i="20"/>
  <c r="P18" i="20"/>
  <c r="O18" i="20"/>
  <c r="J18" i="20"/>
  <c r="I17" i="20"/>
  <c r="P17" i="20" s="1"/>
  <c r="H17" i="20"/>
  <c r="P16" i="20"/>
  <c r="O16" i="20"/>
  <c r="J16" i="20"/>
  <c r="P15" i="20"/>
  <c r="O15" i="20"/>
  <c r="J15" i="20"/>
  <c r="P14" i="20"/>
  <c r="O14" i="20"/>
  <c r="J14" i="20"/>
  <c r="P13" i="20"/>
  <c r="O13" i="20"/>
  <c r="J13" i="20"/>
  <c r="P12" i="20"/>
  <c r="O12" i="20"/>
  <c r="J12" i="20"/>
  <c r="P11" i="20"/>
  <c r="O11" i="20"/>
  <c r="J11" i="20"/>
  <c r="P10" i="20"/>
  <c r="O10" i="20"/>
  <c r="J10" i="20"/>
  <c r="P9" i="20"/>
  <c r="J9" i="20"/>
  <c r="I9" i="20"/>
  <c r="H9" i="20"/>
  <c r="J99" i="20" l="1"/>
  <c r="V6" i="15" l="1"/>
  <c r="V5" i="15"/>
  <c r="E6" i="15"/>
  <c r="E5" i="15"/>
  <c r="B12" i="8"/>
  <c r="B11" i="8"/>
  <c r="B10" i="8"/>
  <c r="B9" i="8"/>
  <c r="B8" i="8"/>
</calcChain>
</file>

<file path=xl/sharedStrings.xml><?xml version="1.0" encoding="utf-8"?>
<sst xmlns="http://schemas.openxmlformats.org/spreadsheetml/2006/main" count="1792" uniqueCount="738">
  <si>
    <t>N°</t>
  </si>
  <si>
    <t>Objetivo</t>
  </si>
  <si>
    <t>Dirigido a</t>
  </si>
  <si>
    <t>Facilitador(es)</t>
  </si>
  <si>
    <t>Fecha Programada</t>
  </si>
  <si>
    <t>Duración (horas)</t>
  </si>
  <si>
    <t>Lugar / Plataforma</t>
  </si>
  <si>
    <t>Estado (Programado/Realizado/Pendiente)</t>
  </si>
  <si>
    <t>Observaciones</t>
  </si>
  <si>
    <t>Tema</t>
  </si>
  <si>
    <t>Todos los usuarios</t>
  </si>
  <si>
    <t>Presencial</t>
  </si>
  <si>
    <t>Modalidad</t>
  </si>
  <si>
    <t>Sem.01</t>
  </si>
  <si>
    <t>Sem.02</t>
  </si>
  <si>
    <t>Sem.03</t>
  </si>
  <si>
    <t>Sem.04</t>
  </si>
  <si>
    <t>Sem.05</t>
  </si>
  <si>
    <t>Sem.06</t>
  </si>
  <si>
    <t>Sem.07</t>
  </si>
  <si>
    <t>Sem.08</t>
  </si>
  <si>
    <t>Sem.09</t>
  </si>
  <si>
    <t>Sem.10</t>
  </si>
  <si>
    <t>Sem.11</t>
  </si>
  <si>
    <t>Sem.12</t>
  </si>
  <si>
    <t>Sem.13</t>
  </si>
  <si>
    <t>Sem.14</t>
  </si>
  <si>
    <t>Sem.15</t>
  </si>
  <si>
    <t>Num. Semana</t>
  </si>
  <si>
    <t>Planificado</t>
  </si>
  <si>
    <t>Completado</t>
  </si>
  <si>
    <t>Atrasado</t>
  </si>
  <si>
    <t>Oficinas Lukmar</t>
  </si>
  <si>
    <r>
      <rPr>
        <sz val="14"/>
        <rFont val="Helvetica"/>
        <family val="2"/>
      </rPr>
      <t>PLAN DE CAPACITACIONES</t>
    </r>
    <r>
      <rPr>
        <b/>
        <sz val="14"/>
        <rFont val="Helvetica"/>
        <family val="2"/>
      </rPr>
      <t xml:space="preserve">
Area: TIC
</t>
    </r>
    <r>
      <rPr>
        <sz val="12"/>
        <rFont val="Helvetica"/>
        <family val="2"/>
      </rPr>
      <t>Implementacion 2025</t>
    </r>
  </si>
  <si>
    <t>Transferencia de conocimiento</t>
  </si>
  <si>
    <t>Politica y Proceso de TIC - Seguridad de la información, respaldos, accesos a sistemas, acceso al data center, adquisiciones</t>
  </si>
  <si>
    <t>Transferencia de conocimiento para el uso de formularios</t>
  </si>
  <si>
    <t>Oscar Ramírez (Lider TIC EQ)</t>
  </si>
  <si>
    <t>Formularios de autorización de inversión, admninstración de cuentas de usuarios, recepción de inversión, acceso al data center</t>
  </si>
  <si>
    <t>Realizado</t>
  </si>
  <si>
    <r>
      <t xml:space="preserve">Cronograma de actividades
Area: TIC
</t>
    </r>
    <r>
      <rPr>
        <sz val="12"/>
        <rFont val="Helvetica"/>
        <family val="2"/>
      </rPr>
      <t>Implementacion ODOO 2025</t>
    </r>
  </si>
  <si>
    <t>ID</t>
  </si>
  <si>
    <t>Nombre de la tarea</t>
  </si>
  <si>
    <t>Duración (días)</t>
  </si>
  <si>
    <t>Comienzo</t>
  </si>
  <si>
    <t>Fin</t>
  </si>
  <si>
    <t>Responsable</t>
  </si>
  <si>
    <t>Implementación de ERP ODOO</t>
  </si>
  <si>
    <t>Gestión del Proyecto</t>
  </si>
  <si>
    <t>1.1.1</t>
  </si>
  <si>
    <t>Acta de constitución del proyecto</t>
  </si>
  <si>
    <t>Levantar información</t>
  </si>
  <si>
    <t>Redactar Acta de constitución de proyecto</t>
  </si>
  <si>
    <t>Revisar Acta de constitución de proyecto</t>
  </si>
  <si>
    <t>Aprobar Acta de constitución de proyecto</t>
  </si>
  <si>
    <t>Acta de constitución del proyecto aprobada</t>
  </si>
  <si>
    <t>1.1.1.1</t>
  </si>
  <si>
    <t>1.1.1.2</t>
  </si>
  <si>
    <t>1.1.1.3</t>
  </si>
  <si>
    <t>1.1.1.4</t>
  </si>
  <si>
    <t>1.1.1.5</t>
  </si>
  <si>
    <t>Plan para la Dirección del Proyecto</t>
  </si>
  <si>
    <t>1.1.2</t>
  </si>
  <si>
    <t>1.1.2.1</t>
  </si>
  <si>
    <t>1.1.2.2</t>
  </si>
  <si>
    <t>1.1.2.3</t>
  </si>
  <si>
    <t>1.1.2.4</t>
  </si>
  <si>
    <t>1.1.2.5</t>
  </si>
  <si>
    <t>Redactar Plan para la Dirección del Proyecto</t>
  </si>
  <si>
    <t>Revisar Plan para la Dirección del Proyecto</t>
  </si>
  <si>
    <t>Aprobar Plan para la Dirección del Proyecto</t>
  </si>
  <si>
    <t>Plan para la Dirección del Proyecto Aprobado</t>
  </si>
  <si>
    <t>1.1.3</t>
  </si>
  <si>
    <t>Monitoreo y Control</t>
  </si>
  <si>
    <t>1.1.3.1</t>
  </si>
  <si>
    <t>Realizar reunión mensual de avance 1</t>
  </si>
  <si>
    <t>1.1.3.2</t>
  </si>
  <si>
    <t>Realizar reunión mensual de avance 2</t>
  </si>
  <si>
    <t>1.1.3.3</t>
  </si>
  <si>
    <t>Realizar reunión mensual de avance 3</t>
  </si>
  <si>
    <t>1.1.3.4</t>
  </si>
  <si>
    <t>Realizar reunión mensual de avance 4</t>
  </si>
  <si>
    <t>1.1.3.5</t>
  </si>
  <si>
    <t>Realizar reunión mensual de avance 5</t>
  </si>
  <si>
    <t>1.1.3.6</t>
  </si>
  <si>
    <t>Realizar reunión mensual de avance 6</t>
  </si>
  <si>
    <t>1.1.3.7</t>
  </si>
  <si>
    <t>Realizar reunión mensual de avance 7</t>
  </si>
  <si>
    <t>1.1.3.8</t>
  </si>
  <si>
    <t>Realizar reunión mensual de avance 8</t>
  </si>
  <si>
    <t>1.1.3.9</t>
  </si>
  <si>
    <t>Realizar reunión mensual de avance 9</t>
  </si>
  <si>
    <t>1.1.3.10</t>
  </si>
  <si>
    <t>Realizar reunión mensual de avance 10</t>
  </si>
  <si>
    <t>1.1.3.11</t>
  </si>
  <si>
    <t>Realizar reunión mensual de avance 11</t>
  </si>
  <si>
    <t>1.1.3.12</t>
  </si>
  <si>
    <t>Realizar reunión mensual de avance 12</t>
  </si>
  <si>
    <t>1.1.3.13</t>
  </si>
  <si>
    <t>1.1.3.14</t>
  </si>
  <si>
    <t>Reuniones mensuales finalizadas</t>
  </si>
  <si>
    <t>1.1.3.15</t>
  </si>
  <si>
    <t>Cierre</t>
  </si>
  <si>
    <t>1.1.4.1</t>
  </si>
  <si>
    <t>Validar la aceptación de los entregables</t>
  </si>
  <si>
    <t>1.1.4.2</t>
  </si>
  <si>
    <t>Emitir acta de entrega definitiva</t>
  </si>
  <si>
    <t>1.1.4.3</t>
  </si>
  <si>
    <t>Aprobar acta de entrega definitiva</t>
  </si>
  <si>
    <t>1.1.4.4</t>
  </si>
  <si>
    <t>Realizar reunión de cierre</t>
  </si>
  <si>
    <t>1.1.4.5</t>
  </si>
  <si>
    <t>Levantar información de lecciones aprendidas</t>
  </si>
  <si>
    <t>1.1.4.6</t>
  </si>
  <si>
    <t>Liberar recursos</t>
  </si>
  <si>
    <t>1.1.4.7</t>
  </si>
  <si>
    <t>Proyecto Culminado</t>
  </si>
  <si>
    <t>Inicio del Proyecto</t>
  </si>
  <si>
    <t>1.2.1</t>
  </si>
  <si>
    <t>1.1.4</t>
  </si>
  <si>
    <t>Emitir acta de reunión 1</t>
  </si>
  <si>
    <t>Emitir acta de reunión 2</t>
  </si>
  <si>
    <t>Emitir acta de reunión 3</t>
  </si>
  <si>
    <t>Emitir acta de reunión 4</t>
  </si>
  <si>
    <t>Emitir acta de reunión 5</t>
  </si>
  <si>
    <t>Emitir acta de reunión 6</t>
  </si>
  <si>
    <t>Emitir acta de reunión 7</t>
  </si>
  <si>
    <t>Emitir acta de reunión 8</t>
  </si>
  <si>
    <t>Emitir acta de reunión 9</t>
  </si>
  <si>
    <t>Emitir acta de reunión 10</t>
  </si>
  <si>
    <t>1.1.3.16</t>
  </si>
  <si>
    <t>1.1.3.17</t>
  </si>
  <si>
    <t>1.1.3.18</t>
  </si>
  <si>
    <t>1.1.3.19</t>
  </si>
  <si>
    <t>1.1.3.20</t>
  </si>
  <si>
    <t>1.1.3.21</t>
  </si>
  <si>
    <t>1.1.3.22</t>
  </si>
  <si>
    <t>1.1.3.23</t>
  </si>
  <si>
    <t>Emitir acta de reunión 11</t>
  </si>
  <si>
    <t>Emitir acta de reunión 12</t>
  </si>
  <si>
    <t>1.1.3.24</t>
  </si>
  <si>
    <t>1.1.3.25</t>
  </si>
  <si>
    <t>Revisar diagramas de flujos de los procesos críticos de las área usuarias</t>
  </si>
  <si>
    <t>Aprobar diagramas de flujos de los procesos críticos de las área usuarias</t>
  </si>
  <si>
    <t>Reunión inicial de socialización del proyecto</t>
  </si>
  <si>
    <t>Programar reunión inicial del proyecto</t>
  </si>
  <si>
    <t>Realizar la reunión inicial del proyecto</t>
  </si>
  <si>
    <t>Emitir acta de reunión de reunión inicial del proyecto</t>
  </si>
  <si>
    <t>Reunión inicial realizada</t>
  </si>
  <si>
    <t>1.2.2</t>
  </si>
  <si>
    <t>Documentar diagramas de flujos de procesos críticos de las área usuarias</t>
  </si>
  <si>
    <t>1.2.1.1</t>
  </si>
  <si>
    <t>1.2.1.2</t>
  </si>
  <si>
    <t>1.2.1.3</t>
  </si>
  <si>
    <t>1.2.1.4</t>
  </si>
  <si>
    <t>1.2.2.1</t>
  </si>
  <si>
    <t>1.2.2.2</t>
  </si>
  <si>
    <t>1.2.2.3</t>
  </si>
  <si>
    <t>1.2.2.4</t>
  </si>
  <si>
    <t>1.2.2.5</t>
  </si>
  <si>
    <t>Elaborar registro de interesados</t>
  </si>
  <si>
    <t>Registro de interesados</t>
  </si>
  <si>
    <t>Revisar registro de interesados</t>
  </si>
  <si>
    <t>Aprobar registro de intresados</t>
  </si>
  <si>
    <t>1.2.3</t>
  </si>
  <si>
    <t>Registro de interesados realizado</t>
  </si>
  <si>
    <t>1.2.3.1</t>
  </si>
  <si>
    <t>1.2.3.2</t>
  </si>
  <si>
    <t>1.2.3.3</t>
  </si>
  <si>
    <t>1.2.3.4</t>
  </si>
  <si>
    <t>1.2.3.5</t>
  </si>
  <si>
    <t>Documentación de diagramas de flujos realizada</t>
  </si>
  <si>
    <t>Documentación de Procesos críticicos de las áreas usuarios del ERP</t>
  </si>
  <si>
    <t>1.2.4</t>
  </si>
  <si>
    <t>Arquitectura de la información</t>
  </si>
  <si>
    <t>Levantar requerimientos de usuarios</t>
  </si>
  <si>
    <t>Elaborar informe de costos y tiempos de funcionalidades personalizadas</t>
  </si>
  <si>
    <t>Desarrollar perfiles de usuarios</t>
  </si>
  <si>
    <t>Elaborar informe de arquitectura de información</t>
  </si>
  <si>
    <t>Aprobar informe de arquitectura de información</t>
  </si>
  <si>
    <t>Arquitectura de información realizada</t>
  </si>
  <si>
    <t>1.2.4.1</t>
  </si>
  <si>
    <t>1.2.4.2</t>
  </si>
  <si>
    <t>1.2.4.3</t>
  </si>
  <si>
    <t>1.2.4.4</t>
  </si>
  <si>
    <t>1.2.4.5</t>
  </si>
  <si>
    <t>1.2.4.6</t>
  </si>
  <si>
    <t>1.2.5</t>
  </si>
  <si>
    <t>Planificación inicial</t>
  </si>
  <si>
    <t>Definir fechas para la entrega de avances</t>
  </si>
  <si>
    <t>Definir fechas para las reuniones semanales</t>
  </si>
  <si>
    <t>Determinar las responsabilidades de los integrantes del proyecto</t>
  </si>
  <si>
    <t>Definir licencias a utilizar</t>
  </si>
  <si>
    <t>Puntualizar los medios de comunicación del equipo</t>
  </si>
  <si>
    <t>1.2.5.1</t>
  </si>
  <si>
    <t>1.2.5.2</t>
  </si>
  <si>
    <t>1.2.5.3</t>
  </si>
  <si>
    <t>1.2.5.4</t>
  </si>
  <si>
    <t>1.2.5.5</t>
  </si>
  <si>
    <t>1.2.5.6</t>
  </si>
  <si>
    <t>1.2.5.7</t>
  </si>
  <si>
    <t>Planificación inicial realizada</t>
  </si>
  <si>
    <t>1.2.6</t>
  </si>
  <si>
    <t>Contratación de servicios</t>
  </si>
  <si>
    <t>1.2.6.1</t>
  </si>
  <si>
    <t>Revisar propuesta comercial de liencias de usuarios</t>
  </si>
  <si>
    <t>Elaborar propuesta comercial de licencias de usuarios</t>
  </si>
  <si>
    <t>Aprobar adquisición de licencias de usuarios</t>
  </si>
  <si>
    <t>Adquirir licencias de usuarios</t>
  </si>
  <si>
    <t>Entregar licencias de usuarios</t>
  </si>
  <si>
    <t>Contratación de licencias de usuarios realizada</t>
  </si>
  <si>
    <t>1.2.6.2</t>
  </si>
  <si>
    <t>1.2.6.3</t>
  </si>
  <si>
    <t>1.2.6.4</t>
  </si>
  <si>
    <t>1.2.6.5</t>
  </si>
  <si>
    <t>1.2.6.6</t>
  </si>
  <si>
    <t>Ejecución</t>
  </si>
  <si>
    <t>1.3.1</t>
  </si>
  <si>
    <t>Desarrollo de funcionalidades</t>
  </si>
  <si>
    <t>1.3.1.1</t>
  </si>
  <si>
    <t>Configurar el entorno de desarrollo</t>
  </si>
  <si>
    <t>Configurar el entorno de pruebas de usuarios</t>
  </si>
  <si>
    <t>Configurar cuentas de desarrollador</t>
  </si>
  <si>
    <t>Realizar pruebas de integración</t>
  </si>
  <si>
    <t>Respaldar todo el ambiente de desarrollo instalado</t>
  </si>
  <si>
    <t>Respaldar todo el ambiente de pruebas de usuario</t>
  </si>
  <si>
    <t>Entregar credeciales de acceso a usuarios</t>
  </si>
  <si>
    <t>1.3.1.3</t>
  </si>
  <si>
    <t>1.3.1.4</t>
  </si>
  <si>
    <t>1.3.1.5</t>
  </si>
  <si>
    <t>1.3.1.6</t>
  </si>
  <si>
    <t>1.3.1.7</t>
  </si>
  <si>
    <t>1.3.1.8</t>
  </si>
  <si>
    <t>Pruebas de usuarios</t>
  </si>
  <si>
    <t>1.4.1</t>
  </si>
  <si>
    <t>Configurar cuentas de acceso de usuarios</t>
  </si>
  <si>
    <t>Entregar credeciales de acceso a desarrolladores</t>
  </si>
  <si>
    <t>Desarrollar documento Requerimiento funcional</t>
  </si>
  <si>
    <t>Enviar documento Requerimiento funcional al usuario</t>
  </si>
  <si>
    <t>Analizar Requerimiento funcional</t>
  </si>
  <si>
    <t>Desarrollar funcionalidades del documento Requerimiento funcional</t>
  </si>
  <si>
    <t>Firmar aceptación de Requerimiento funcional</t>
  </si>
  <si>
    <t>Versionar código fuente</t>
  </si>
  <si>
    <t>1.3.1.9</t>
  </si>
  <si>
    <t>1.3.1.10</t>
  </si>
  <si>
    <t>1.3.1.11</t>
  </si>
  <si>
    <t>1.3.1.12</t>
  </si>
  <si>
    <t>1.3.1.13</t>
  </si>
  <si>
    <t>1.3.1.14</t>
  </si>
  <si>
    <t>1.3.1.15</t>
  </si>
  <si>
    <t>Presentar funcionalidades del Documento Requerimiento funcional</t>
  </si>
  <si>
    <t>Desarrollo de funcionalidades realizado</t>
  </si>
  <si>
    <t>1.4.1.1</t>
  </si>
  <si>
    <t>Enviar plantillas de maestros  a usuarios responsables</t>
  </si>
  <si>
    <r>
      <t xml:space="preserve">Registrar información en la plantilla de maestro </t>
    </r>
    <r>
      <rPr>
        <b/>
        <sz val="11"/>
        <color theme="1"/>
        <rFont val="Helvetica"/>
        <family val="2"/>
      </rPr>
      <t>Plan Contable</t>
    </r>
  </si>
  <si>
    <r>
      <t xml:space="preserve">Registrar información en la plantilla de maestro </t>
    </r>
    <r>
      <rPr>
        <b/>
        <sz val="11"/>
        <color theme="1"/>
        <rFont val="Helvetica"/>
        <family val="2"/>
      </rPr>
      <t>Contactos</t>
    </r>
  </si>
  <si>
    <r>
      <t xml:space="preserve">Registrar información en la plantilla de maestro </t>
    </r>
    <r>
      <rPr>
        <b/>
        <sz val="11"/>
        <color theme="1"/>
        <rFont val="Helvetica"/>
        <family val="2"/>
      </rPr>
      <t>Cuentas Bancarias</t>
    </r>
  </si>
  <si>
    <r>
      <t xml:space="preserve">Registrar información en la plantilla de maestro </t>
    </r>
    <r>
      <rPr>
        <b/>
        <sz val="11"/>
        <color theme="1"/>
        <rFont val="Helvetica"/>
        <family val="2"/>
      </rPr>
      <t>Categorías de Productos</t>
    </r>
  </si>
  <si>
    <r>
      <t xml:space="preserve">Registrar información en la plantilla de maestro </t>
    </r>
    <r>
      <rPr>
        <b/>
        <sz val="11"/>
        <color theme="1"/>
        <rFont val="Helvetica"/>
        <family val="2"/>
      </rPr>
      <t>Productos</t>
    </r>
  </si>
  <si>
    <r>
      <t xml:space="preserve">Registrar información en la plantilla de maestro </t>
    </r>
    <r>
      <rPr>
        <b/>
        <sz val="11"/>
        <color theme="1"/>
        <rFont val="Helvetica"/>
        <family val="2"/>
      </rPr>
      <t>Inventario físico</t>
    </r>
  </si>
  <si>
    <r>
      <t xml:space="preserve">Registrar información en la plantilla de maestro </t>
    </r>
    <r>
      <rPr>
        <b/>
        <sz val="11"/>
        <color theme="1"/>
        <rFont val="Helvetica"/>
        <family val="2"/>
      </rPr>
      <t>Diarios Contables</t>
    </r>
  </si>
  <si>
    <r>
      <t xml:space="preserve">Registrar información en la plantilla de maestro </t>
    </r>
    <r>
      <rPr>
        <b/>
        <sz val="11"/>
        <color theme="1"/>
        <rFont val="Helvetica"/>
        <family val="2"/>
      </rPr>
      <t>Facturas clientes</t>
    </r>
  </si>
  <si>
    <r>
      <t xml:space="preserve">Registrar información en la plantilla de maestro </t>
    </r>
    <r>
      <rPr>
        <b/>
        <sz val="11"/>
        <color theme="1"/>
        <rFont val="Helvetica"/>
        <family val="2"/>
      </rPr>
      <t>Facturras Proveedores</t>
    </r>
  </si>
  <si>
    <r>
      <t xml:space="preserve">Registrar información en la plantilla de maestro </t>
    </r>
    <r>
      <rPr>
        <b/>
        <sz val="11"/>
        <color theme="1"/>
        <rFont val="Helvetica"/>
        <family val="2"/>
      </rPr>
      <t>Saldos iniciales</t>
    </r>
  </si>
  <si>
    <r>
      <t xml:space="preserve">Registrar información en la plantilla de maestro </t>
    </r>
    <r>
      <rPr>
        <b/>
        <sz val="11"/>
        <color theme="1"/>
        <rFont val="Helvetica"/>
        <family val="2"/>
      </rPr>
      <t>Anticipo de clientes</t>
    </r>
  </si>
  <si>
    <r>
      <t xml:space="preserve">Registrar información en la plantilla de maestro </t>
    </r>
    <r>
      <rPr>
        <b/>
        <sz val="11"/>
        <color theme="1"/>
        <rFont val="Helvetica"/>
        <family val="2"/>
      </rPr>
      <t>Anticipo de proveedores</t>
    </r>
  </si>
  <si>
    <r>
      <t xml:space="preserve">Registrar información en la plantilla de maestro </t>
    </r>
    <r>
      <rPr>
        <b/>
        <sz val="11"/>
        <color theme="1"/>
        <rFont val="Helvetica"/>
        <family val="2"/>
      </rPr>
      <t>Modelos de Activos Fijos</t>
    </r>
  </si>
  <si>
    <r>
      <t xml:space="preserve">Registrar información en la plantilla de maestro </t>
    </r>
    <r>
      <rPr>
        <b/>
        <sz val="11"/>
        <color theme="1"/>
        <rFont val="Helvetica"/>
        <family val="2"/>
      </rPr>
      <t>Activos fijos</t>
    </r>
  </si>
  <si>
    <r>
      <t xml:space="preserve">Registrar información en la plantilla de maestro </t>
    </r>
    <r>
      <rPr>
        <b/>
        <sz val="11"/>
        <color theme="1"/>
        <rFont val="Helvetica"/>
        <family val="2"/>
      </rPr>
      <t>Departamento</t>
    </r>
  </si>
  <si>
    <r>
      <t xml:space="preserve">Registrar información en la plantilla de maestro </t>
    </r>
    <r>
      <rPr>
        <b/>
        <sz val="11"/>
        <color theme="1"/>
        <rFont val="Helvetica"/>
        <family val="2"/>
      </rPr>
      <t>Puesto de Trabajo</t>
    </r>
  </si>
  <si>
    <r>
      <t xml:space="preserve">Registrar información en la plantilla de maestro </t>
    </r>
    <r>
      <rPr>
        <b/>
        <sz val="11"/>
        <color theme="1"/>
        <rFont val="Helvetica"/>
        <family val="2"/>
      </rPr>
      <t>Empleados</t>
    </r>
  </si>
  <si>
    <r>
      <t xml:space="preserve">Registrar información en la plantilla de maestro </t>
    </r>
    <r>
      <rPr>
        <b/>
        <sz val="11"/>
        <color theme="1"/>
        <rFont val="Helvetica"/>
        <family val="2"/>
      </rPr>
      <t>Contratos</t>
    </r>
  </si>
  <si>
    <t>Rknezevich</t>
  </si>
  <si>
    <t>Abastecimiento</t>
  </si>
  <si>
    <t>RRHH</t>
  </si>
  <si>
    <t>1.4.1.2</t>
  </si>
  <si>
    <t>1.4.1.3</t>
  </si>
  <si>
    <t>1.4.1.4</t>
  </si>
  <si>
    <t>1.4.1.5</t>
  </si>
  <si>
    <t>1.4.1.6</t>
  </si>
  <si>
    <t>1.4.1.7</t>
  </si>
  <si>
    <t>1.4.1.8</t>
  </si>
  <si>
    <t>1.4.1.9</t>
  </si>
  <si>
    <t>1.4.1.10</t>
  </si>
  <si>
    <t>1.4.1.11</t>
  </si>
  <si>
    <t>1.4.1.12</t>
  </si>
  <si>
    <t>1.4.1.13</t>
  </si>
  <si>
    <t>1.4.1.14</t>
  </si>
  <si>
    <t>1.4.1.15</t>
  </si>
  <si>
    <t>1.4.1.16</t>
  </si>
  <si>
    <t>1.4.1.17</t>
  </si>
  <si>
    <t>1.4.1.18</t>
  </si>
  <si>
    <t>1.4.1.19</t>
  </si>
  <si>
    <t>1.4.1.20</t>
  </si>
  <si>
    <t>1.4.1.21</t>
  </si>
  <si>
    <t>1.4.1.22</t>
  </si>
  <si>
    <t>Revisión de plantillas de maestros</t>
  </si>
  <si>
    <t>Carga de plantillas de maestros</t>
  </si>
  <si>
    <t>Estado</t>
  </si>
  <si>
    <t>Elaborar cronograma de pruebas de usuarios</t>
  </si>
  <si>
    <t>Revisar cronograma de pruebas de usuarios</t>
  </si>
  <si>
    <t>Oramirez</t>
  </si>
  <si>
    <t>Aprobar cronograma de pruebas de usuarios</t>
  </si>
  <si>
    <t>Lochoa</t>
  </si>
  <si>
    <t>Ejecutar pruebas de usuarios del módulo Contablidad</t>
  </si>
  <si>
    <t>Elaborar casos de uso para el documento de pruebas de usuarios</t>
  </si>
  <si>
    <t>Ejecutar pruebas de usuarios del módulo Inventario</t>
  </si>
  <si>
    <t>Ejecutar pruebas de usuarios del módulo Requisición</t>
  </si>
  <si>
    <t>Ejecutar pruebas de usuarios del módulo Compras</t>
  </si>
  <si>
    <t>Ejecutar pruebas de usuarios del módulo Empleados</t>
  </si>
  <si>
    <t>Ejecutar pruebas de usuarios del módulo Nómina</t>
  </si>
  <si>
    <t>Ejecutar pruebas de usuarios del módulo Producción Camarón</t>
  </si>
  <si>
    <t xml:space="preserve">Resolver  novedades del proceso de pruebas de usuarios </t>
  </si>
  <si>
    <t>Ejecutar pruebas de usuarios para resolución de novedades</t>
  </si>
  <si>
    <t>Firmar aceptación de pruebas de usuarios</t>
  </si>
  <si>
    <t>Pruebas de usuarios realizadas</t>
  </si>
  <si>
    <t>1.4.1.23</t>
  </si>
  <si>
    <t>1.3.2</t>
  </si>
  <si>
    <t>1.3.2.1</t>
  </si>
  <si>
    <t>1.3.2.2</t>
  </si>
  <si>
    <t>1.3.2.3</t>
  </si>
  <si>
    <t>1.3.2.4</t>
  </si>
  <si>
    <t>1.3.2.5</t>
  </si>
  <si>
    <t>1.3.2.6</t>
  </si>
  <si>
    <t>1.3.2.7</t>
  </si>
  <si>
    <t>1.3.2.8</t>
  </si>
  <si>
    <t>1.3.2.9</t>
  </si>
  <si>
    <t>1.3.2.10</t>
  </si>
  <si>
    <t>1.3.2.11</t>
  </si>
  <si>
    <t>1.3.2.12</t>
  </si>
  <si>
    <t>1.3.2.13</t>
  </si>
  <si>
    <t>1.3.2.14</t>
  </si>
  <si>
    <t>1.3.2.15</t>
  </si>
  <si>
    <t>1.3.2.16</t>
  </si>
  <si>
    <t>1.3.2.17</t>
  </si>
  <si>
    <t>1.3.2.18</t>
  </si>
  <si>
    <t>1.3.2.19</t>
  </si>
  <si>
    <t>1.3.2.20</t>
  </si>
  <si>
    <t>1.3.2.21</t>
  </si>
  <si>
    <t>1.3.2.22</t>
  </si>
  <si>
    <t>1.3.2.23</t>
  </si>
  <si>
    <t>1.3.2.24</t>
  </si>
  <si>
    <t>1.3.2.25</t>
  </si>
  <si>
    <t>1.3.2.26</t>
  </si>
  <si>
    <t>1.3.2.27</t>
  </si>
  <si>
    <t>1.3.2.28</t>
  </si>
  <si>
    <t>1.3.2.29</t>
  </si>
  <si>
    <t>1.3.2.30</t>
  </si>
  <si>
    <t>1.3.2.31</t>
  </si>
  <si>
    <t>1.3.2.32</t>
  </si>
  <si>
    <t>1.3.2.33</t>
  </si>
  <si>
    <t>1.3.2.34</t>
  </si>
  <si>
    <t>1.3.2.35</t>
  </si>
  <si>
    <t>1.3.2.36</t>
  </si>
  <si>
    <t>1.3.2.37</t>
  </si>
  <si>
    <t>1.3.2.38</t>
  </si>
  <si>
    <t>1.3.2.39</t>
  </si>
  <si>
    <t>Lukmar</t>
  </si>
  <si>
    <t>Implementación</t>
  </si>
  <si>
    <t>Salida a Producción</t>
  </si>
  <si>
    <t>Carga de plantillas de maestros a ambiente productivo</t>
  </si>
  <si>
    <t>NextGen</t>
  </si>
  <si>
    <t>Elaborar saldos iniciales</t>
  </si>
  <si>
    <t xml:space="preserve">Revisar saldos iniciales </t>
  </si>
  <si>
    <t>Cargar saldos iniciales</t>
  </si>
  <si>
    <t>Configurar el entorno productivo</t>
  </si>
  <si>
    <t>Configurar cuentas de acceso de usuarios en el ambiente productivo</t>
  </si>
  <si>
    <t>Entregar credeciales de acceso a usuarios del ambiente productivo</t>
  </si>
  <si>
    <t>Registar contabilización de nomínas del periodo 2025</t>
  </si>
  <si>
    <t>1.3.2.40</t>
  </si>
  <si>
    <r>
      <t xml:space="preserve">Elaborar roles y permisos de usuarios del módulo </t>
    </r>
    <r>
      <rPr>
        <b/>
        <sz val="11"/>
        <color theme="1"/>
        <rFont val="Helvetica"/>
        <family val="2"/>
      </rPr>
      <t>Contabilidad</t>
    </r>
  </si>
  <si>
    <r>
      <t xml:space="preserve">Elaborar roles y permisos de usuarios del módulo </t>
    </r>
    <r>
      <rPr>
        <b/>
        <sz val="11"/>
        <color theme="1"/>
        <rFont val="Helvetica"/>
        <family val="2"/>
      </rPr>
      <t>Inventario</t>
    </r>
  </si>
  <si>
    <r>
      <t xml:space="preserve">Elaborar roles y permisos de usuarios del módulo </t>
    </r>
    <r>
      <rPr>
        <b/>
        <sz val="11"/>
        <color theme="1"/>
        <rFont val="Helvetica"/>
        <family val="2"/>
      </rPr>
      <t>Compras</t>
    </r>
  </si>
  <si>
    <r>
      <t xml:space="preserve">Elaborar roles y permisos de usuarios del módulo </t>
    </r>
    <r>
      <rPr>
        <b/>
        <sz val="11"/>
        <color theme="1"/>
        <rFont val="Helvetica"/>
        <family val="2"/>
      </rPr>
      <t>Requisición</t>
    </r>
  </si>
  <si>
    <r>
      <t xml:space="preserve">Elaborar roles y permisos de usuarios del módulo </t>
    </r>
    <r>
      <rPr>
        <b/>
        <sz val="11"/>
        <color theme="1"/>
        <rFont val="Helvetica"/>
        <family val="2"/>
      </rPr>
      <t>Empleados</t>
    </r>
  </si>
  <si>
    <r>
      <t xml:space="preserve">Elaborar roles y permisos de usuarios del módulo </t>
    </r>
    <r>
      <rPr>
        <b/>
        <sz val="11"/>
        <color theme="1"/>
        <rFont val="Helvetica"/>
        <family val="2"/>
      </rPr>
      <t>Nómina</t>
    </r>
  </si>
  <si>
    <r>
      <t>Elaborar roles y permisos de usuarios del módulo</t>
    </r>
    <r>
      <rPr>
        <b/>
        <sz val="11"/>
        <color theme="1"/>
        <rFont val="Helvetica"/>
        <family val="2"/>
      </rPr>
      <t xml:space="preserve"> Producción Camarón</t>
    </r>
  </si>
  <si>
    <t>JCArroyo</t>
  </si>
  <si>
    <t>AGarcia</t>
  </si>
  <si>
    <t>MVacas</t>
  </si>
  <si>
    <t>JAlmeida</t>
  </si>
  <si>
    <t>Respaldar todo el ambiente de producción</t>
  </si>
  <si>
    <t>ORamirez</t>
  </si>
  <si>
    <t>LOchoa</t>
  </si>
  <si>
    <t>Elaborar cronograma de capacitación de usuarios</t>
  </si>
  <si>
    <t>Revisar cronograma de capacitación de usuarios</t>
  </si>
  <si>
    <t>Aprobar cronograma de capacitación de usuarios</t>
  </si>
  <si>
    <t>Ejecutar cronograma de capacitación de usuarios</t>
  </si>
  <si>
    <t>Salida a producción realizado</t>
  </si>
  <si>
    <t>1.4.2</t>
  </si>
  <si>
    <t>Estabilización</t>
  </si>
  <si>
    <t>Entregar de Manuales de usuario</t>
  </si>
  <si>
    <t>Entregar de Manuales técnicos (Configuración)</t>
  </si>
  <si>
    <r>
      <t>Elaborar roles y permisos de usuarios del módulo</t>
    </r>
    <r>
      <rPr>
        <b/>
        <sz val="11"/>
        <color theme="1"/>
        <rFont val="Helvetica"/>
        <family val="2"/>
      </rPr>
      <t xml:space="preserve"> Administrador</t>
    </r>
  </si>
  <si>
    <t>1.4.2.1</t>
  </si>
  <si>
    <t>Resolver pendientes de ajustes de configuración</t>
  </si>
  <si>
    <t>Soportar a usuarios</t>
  </si>
  <si>
    <t>Revisar de Transacciones</t>
  </si>
  <si>
    <t>Estabilización realizada</t>
  </si>
  <si>
    <t>4 semanas</t>
  </si>
  <si>
    <t>CRONOGRAMA DE ACTIVIDADES V.2.</t>
  </si>
  <si>
    <t>SPRINTS</t>
  </si>
  <si>
    <t>SPRINT 1</t>
  </si>
  <si>
    <t>SPRINT 2</t>
  </si>
  <si>
    <t>SPRINT 3</t>
  </si>
  <si>
    <t>SPRINT 4</t>
  </si>
  <si>
    <t>SPRINT 5</t>
  </si>
  <si>
    <t>ESTRUCTURA DE DESGLOSE DEL TRABAJO</t>
  </si>
  <si>
    <t>TÍTULO DE LA TAREA</t>
  </si>
  <si>
    <t>PROPIETARIO DE LA TAREA</t>
  </si>
  <si>
    <t>PROCESO</t>
  </si>
  <si>
    <t>ETAPA</t>
  </si>
  <si>
    <t>ESTADO DE ACEPTACIÓN</t>
  </si>
  <si>
    <t>CANTIDAD DE TRABAJO EN HORAS</t>
  </si>
  <si>
    <t>FASE</t>
  </si>
  <si>
    <t>FECHA DE INICIO</t>
  </si>
  <si>
    <t>FECHA DE VENCIMIENTO</t>
  </si>
  <si>
    <t>FECHA ACTUALIZADA</t>
  </si>
  <si>
    <t>DURACIÓN</t>
  </si>
  <si>
    <t>PCT DE TAREA COMPLETADA</t>
  </si>
  <si>
    <t>SPRINT 1 - SEM10</t>
  </si>
  <si>
    <t>SPRINT 2 -SEM11</t>
  </si>
  <si>
    <t>SPRINT 2- SEM 12</t>
  </si>
  <si>
    <t>SPRINT 3 - SEM 13</t>
  </si>
  <si>
    <t>SPRINT 3- SEM 14</t>
  </si>
  <si>
    <t>SPRINT 3- SEM 15</t>
  </si>
  <si>
    <t>SPRINT 3- SEM 16</t>
  </si>
  <si>
    <t>SPRINT 3- SEM 17</t>
  </si>
  <si>
    <t>SPRINT 4- SEM 18</t>
  </si>
  <si>
    <t>SPRINT 5 - SEM 19</t>
  </si>
  <si>
    <t>SPRINT 5 - SEM 20</t>
  </si>
  <si>
    <t>SPRINT 5 SEM 20</t>
  </si>
  <si>
    <t>ESTIMAR</t>
  </si>
  <si>
    <t>COMPLETADO</t>
  </si>
  <si>
    <t>RESTANTE</t>
  </si>
  <si>
    <t>L</t>
  </si>
  <si>
    <t>M</t>
  </si>
  <si>
    <t>X</t>
  </si>
  <si>
    <t>J</t>
  </si>
  <si>
    <t>V</t>
  </si>
  <si>
    <t>T</t>
  </si>
  <si>
    <t>W</t>
  </si>
  <si>
    <t>R</t>
  </si>
  <si>
    <t>F</t>
  </si>
  <si>
    <t>Maestros de Configuración de Producción Piscina</t>
  </si>
  <si>
    <t>Tipo Mantenedor:  Compañía</t>
  </si>
  <si>
    <t>Cristina Barreno</t>
  </si>
  <si>
    <t>Desarrollo</t>
  </si>
  <si>
    <t>Terminado</t>
  </si>
  <si>
    <t>FIRMADO</t>
  </si>
  <si>
    <t>Tipo Mantenedor:  Grupo Camaronero</t>
  </si>
  <si>
    <t>Tipo Mantenedor: Sectores</t>
  </si>
  <si>
    <t>Tipo Mantenedor: Lotes</t>
  </si>
  <si>
    <t>Tipo Mantenedor: Piscina</t>
  </si>
  <si>
    <t>Reportería de Mantenedores</t>
  </si>
  <si>
    <t>Revisión con el Funcional</t>
  </si>
  <si>
    <t>Lissette Correa</t>
  </si>
  <si>
    <t>Revisión</t>
  </si>
  <si>
    <t>Configuración de Producción de Siembra</t>
  </si>
  <si>
    <t>Campos Configuración (Laboratorio, Guía de Remisión, Edad Mínima, PL/G, Biomasa</t>
  </si>
  <si>
    <t>Campos - Compra (Creación de Campos)</t>
  </si>
  <si>
    <t>Campos - Recepción</t>
  </si>
  <si>
    <t>Formato de Orden de Compra</t>
  </si>
  <si>
    <t>2,5</t>
  </si>
  <si>
    <t>Transferencia de Pre-Cria a Cosecha</t>
  </si>
  <si>
    <t>2,6</t>
  </si>
  <si>
    <t>Formato de la Transferencia</t>
  </si>
  <si>
    <t>En Curso</t>
  </si>
  <si>
    <t>EN CURSO</t>
  </si>
  <si>
    <t>2,7</t>
  </si>
  <si>
    <t>2,8</t>
  </si>
  <si>
    <t>Reunión de Avances Punto 1 y 2 - cliente (VISITA)</t>
  </si>
  <si>
    <t>Lissette Correa/Cristina Barreno</t>
  </si>
  <si>
    <t>Visita</t>
  </si>
  <si>
    <t>2,9</t>
  </si>
  <si>
    <t>Cierre de Etapa 1 y 2 (Aprobado por el Cliente)</t>
  </si>
  <si>
    <t>Cosecha</t>
  </si>
  <si>
    <t>Configuración General</t>
  </si>
  <si>
    <t>Creación de campos en Cabecera</t>
  </si>
  <si>
    <t>3.2.1</t>
  </si>
  <si>
    <t>Detalles Informativos</t>
  </si>
  <si>
    <t>3.2.2</t>
  </si>
  <si>
    <t>Formatos de Cosecha</t>
  </si>
  <si>
    <t>Campos Cálculados</t>
  </si>
  <si>
    <t>3.3.1</t>
  </si>
  <si>
    <t>Liquidación de Empacadora</t>
  </si>
  <si>
    <t>4,2</t>
  </si>
  <si>
    <t>4,3</t>
  </si>
  <si>
    <t>4,4</t>
  </si>
  <si>
    <t>Formato de Liquidación de Empacadora</t>
  </si>
  <si>
    <t>4,5</t>
  </si>
  <si>
    <t>Facturación de Liquidación de Empacadora</t>
  </si>
  <si>
    <t>4,6</t>
  </si>
  <si>
    <t xml:space="preserve">Campos Cálculados de Rendimiento </t>
  </si>
  <si>
    <t>4,7</t>
  </si>
  <si>
    <t>Reunión con el Funcional</t>
  </si>
  <si>
    <t>4,8</t>
  </si>
  <si>
    <t>Reunión de Avances Punto 3 y 4 - cliente (VISITA)</t>
  </si>
  <si>
    <t>5</t>
  </si>
  <si>
    <t>Consumos Directos e Insumos</t>
  </si>
  <si>
    <t>5,1</t>
  </si>
  <si>
    <t>Estructura de Cabecera</t>
  </si>
  <si>
    <t>5,2</t>
  </si>
  <si>
    <t>Validaciones y Condiciones</t>
  </si>
  <si>
    <t>5,3</t>
  </si>
  <si>
    <t>5,4</t>
  </si>
  <si>
    <t>Reunión de Avance - Con Gerencia NextGen y Lukmar</t>
  </si>
  <si>
    <t>Lissette Correa/Valeria Saltos</t>
  </si>
  <si>
    <t>6</t>
  </si>
  <si>
    <t>Consumo Otros</t>
  </si>
  <si>
    <t>6,1</t>
  </si>
  <si>
    <t>6,2</t>
  </si>
  <si>
    <t>6,3</t>
  </si>
  <si>
    <t xml:space="preserve">Revisión con el Funcional </t>
  </si>
  <si>
    <t>7</t>
  </si>
  <si>
    <t>Distribución de Facturas</t>
  </si>
  <si>
    <t>7,1</t>
  </si>
  <si>
    <t>Distribución Total</t>
  </si>
  <si>
    <t>7,2</t>
  </si>
  <si>
    <t>Distribución Individual</t>
  </si>
  <si>
    <t>7,3</t>
  </si>
  <si>
    <t>Distribución por Sectores</t>
  </si>
  <si>
    <t>7,4</t>
  </si>
  <si>
    <t>Distribución por Lotes</t>
  </si>
  <si>
    <t>7,5</t>
  </si>
  <si>
    <t>7,6</t>
  </si>
  <si>
    <t>Reunión de Avances Punto 7 - cliente (VISITA)</t>
  </si>
  <si>
    <t>8</t>
  </si>
  <si>
    <t>Estructura de Costos</t>
  </si>
  <si>
    <t>8,1</t>
  </si>
  <si>
    <t>Costo Directos</t>
  </si>
  <si>
    <t>En Pruebas</t>
  </si>
  <si>
    <t>8,2</t>
  </si>
  <si>
    <t>Costo Indirectos</t>
  </si>
  <si>
    <t>8,3</t>
  </si>
  <si>
    <t>Costo Otros</t>
  </si>
  <si>
    <t>8,4</t>
  </si>
  <si>
    <t>8,5</t>
  </si>
  <si>
    <t>Reporte de Estrutura y Costos</t>
  </si>
  <si>
    <t>8,6</t>
  </si>
  <si>
    <t>Reporte de Producción</t>
  </si>
  <si>
    <t>8,7</t>
  </si>
  <si>
    <t>Balance de Costo y Producción</t>
  </si>
  <si>
    <t>8,8</t>
  </si>
  <si>
    <t>8,9</t>
  </si>
  <si>
    <t>Reunión de Avances Punto  8 - cliente (VISITA)</t>
  </si>
  <si>
    <t>No Iniciado</t>
  </si>
  <si>
    <t>8,10</t>
  </si>
  <si>
    <t>Cierre de Desarrollo de Costo</t>
  </si>
  <si>
    <t>8,11</t>
  </si>
  <si>
    <t>Reunión con Gerencia de NextGen y Lukmar</t>
  </si>
  <si>
    <t>9</t>
  </si>
  <si>
    <t>Prueba General de Costo</t>
  </si>
  <si>
    <t>9,1</t>
  </si>
  <si>
    <t>Prueba General con el Equipo Lukmar - Sobre el Desarrollo Entregado</t>
  </si>
  <si>
    <t>9,2</t>
  </si>
  <si>
    <t>Acta de Aceptación del  Desarrollo de Costeo</t>
  </si>
  <si>
    <t>10</t>
  </si>
  <si>
    <t>Adicionales Módulos Otros</t>
  </si>
  <si>
    <t>10,1</t>
  </si>
  <si>
    <t>Facturas de Clientes - Envío de Correo</t>
  </si>
  <si>
    <t>10,2</t>
  </si>
  <si>
    <t>Inventario - Ajuste de Inventario - Automatización</t>
  </si>
  <si>
    <t>10,3</t>
  </si>
  <si>
    <t>Inventario - Recepción</t>
  </si>
  <si>
    <t>10,4</t>
  </si>
  <si>
    <t>Inventario - Devolución de Compra</t>
  </si>
  <si>
    <t>10,5</t>
  </si>
  <si>
    <t>Contabilidad</t>
  </si>
  <si>
    <t>10,6</t>
  </si>
  <si>
    <t>Inventario - Kardex</t>
  </si>
  <si>
    <t>10,7</t>
  </si>
  <si>
    <t>Requisiciones Parciales</t>
  </si>
  <si>
    <t>10,8</t>
  </si>
  <si>
    <t>Pagos Masivos (Automatización de Campos  y Armado de 7 TXT)</t>
  </si>
  <si>
    <t>10,9</t>
  </si>
  <si>
    <t>Nómina - Pagos de Nómina (Txt)</t>
  </si>
  <si>
    <t>11</t>
  </si>
  <si>
    <t>Cierre de Proyecto</t>
  </si>
  <si>
    <t>11,1</t>
  </si>
  <si>
    <t>Entrega de Proyecto - Aceptación de Adicionales y Desarrollo (Reunión Gerencia NextGen y Lukmar)</t>
  </si>
  <si>
    <t>12</t>
  </si>
  <si>
    <t>Inicio de Parelelo</t>
  </si>
  <si>
    <t>12,1</t>
  </si>
  <si>
    <t xml:space="preserve">Migración de Plantilla </t>
  </si>
  <si>
    <t>Lissette Correa/Equipo Lukmar</t>
  </si>
  <si>
    <t>12,2</t>
  </si>
  <si>
    <t>Inicio de Paralelo</t>
  </si>
  <si>
    <t>12,3</t>
  </si>
  <si>
    <t>Revisión de Transacciones - Mitad (Reunión sobre Novedades)</t>
  </si>
  <si>
    <t>12,4</t>
  </si>
  <si>
    <t>Entrega de Manuales</t>
  </si>
  <si>
    <t>12,5</t>
  </si>
  <si>
    <t>Fin del Paralelo</t>
  </si>
  <si>
    <t>12,6</t>
  </si>
  <si>
    <t xml:space="preserve">Entrega de Proyecto - Aceptación de Paralelo </t>
  </si>
  <si>
    <t>12,7</t>
  </si>
  <si>
    <t>Migración de Saldos Iniciales</t>
  </si>
  <si>
    <t>12,8</t>
  </si>
  <si>
    <t>12,9</t>
  </si>
  <si>
    <t>Transpaso a Soporte</t>
  </si>
  <si>
    <t>DÍAS</t>
  </si>
  <si>
    <t>EST/ DÍAS</t>
  </si>
  <si>
    <t>DATOS DE DESGASTE</t>
  </si>
  <si>
    <t>TOTAL DE HORAS</t>
  </si>
  <si>
    <t>Levantar información Contable</t>
  </si>
  <si>
    <t>Jherrera</t>
  </si>
  <si>
    <t>Documentar diagramas de flujos de procesos críticos de Contabilidad</t>
  </si>
  <si>
    <t>Elaborar diseño de costos de producción</t>
  </si>
  <si>
    <t>Avance</t>
  </si>
  <si>
    <t>Pendiente</t>
  </si>
  <si>
    <t>Mayo</t>
  </si>
  <si>
    <t>Junio</t>
  </si>
  <si>
    <t>Julio</t>
  </si>
  <si>
    <t>No</t>
  </si>
  <si>
    <t>Mes</t>
  </si>
  <si>
    <t>Descripcion</t>
  </si>
  <si>
    <t>Duración (Días)</t>
  </si>
  <si>
    <t>%</t>
  </si>
  <si>
    <t>Sem19</t>
  </si>
  <si>
    <t>Sem20</t>
  </si>
  <si>
    <t>Sem21</t>
  </si>
  <si>
    <t>Sem22</t>
  </si>
  <si>
    <t>Sem23</t>
  </si>
  <si>
    <t>Sem24</t>
  </si>
  <si>
    <t>Sem25</t>
  </si>
  <si>
    <t>Sem26</t>
  </si>
  <si>
    <t>Sem27</t>
  </si>
  <si>
    <t>Sem28</t>
  </si>
  <si>
    <t>Sem29</t>
  </si>
  <si>
    <t>Sem30</t>
  </si>
  <si>
    <t>Aplicativo</t>
  </si>
  <si>
    <t>En progreso</t>
  </si>
  <si>
    <t>Seguridad</t>
  </si>
  <si>
    <t>Redes</t>
  </si>
  <si>
    <t>Proyecto IT</t>
  </si>
  <si>
    <t>Data Center</t>
  </si>
  <si>
    <t>Total</t>
  </si>
  <si>
    <t>Tarea</t>
  </si>
  <si>
    <t>Levantar información de procesos Contables</t>
  </si>
  <si>
    <t>Revisar diseño de costos de producción</t>
  </si>
  <si>
    <t>Jherrera, Fscavone, Rknezevich, Oramirez</t>
  </si>
  <si>
    <t>Aprobar diseño de costos de producción</t>
  </si>
  <si>
    <t>Lochoa, Fscavone</t>
  </si>
  <si>
    <t>NextGen , Jherrera, Oramirez</t>
  </si>
  <si>
    <t>Levantar información de procesos RRHH</t>
  </si>
  <si>
    <t>Documentar diagramas de flujos de procesos críticos de RRHH</t>
  </si>
  <si>
    <t>Mvacas</t>
  </si>
  <si>
    <t>Flopez</t>
  </si>
  <si>
    <t>Levantar información de procesos Financieros</t>
  </si>
  <si>
    <t>Documentar diagramas de flujos de procesos críticos de Financieros</t>
  </si>
  <si>
    <t>Revisar diagramas de flujos de procesos críticos de Financieros</t>
  </si>
  <si>
    <t>Revisar diagramas de flujos de procesos críticos de RRHH</t>
  </si>
  <si>
    <t>Flopez, Fscavone</t>
  </si>
  <si>
    <t>Mvacas, Fscavone</t>
  </si>
  <si>
    <t>Revisar nuevo diseño de costos de producción con implementador</t>
  </si>
  <si>
    <t>NextGen, Jherrera, Oramirez</t>
  </si>
  <si>
    <r>
      <t xml:space="preserve">Revisar funcionalidades del módulo </t>
    </r>
    <r>
      <rPr>
        <b/>
        <sz val="11"/>
        <color theme="1"/>
        <rFont val="Helvetica"/>
        <family val="2"/>
      </rPr>
      <t>Contabilidad</t>
    </r>
  </si>
  <si>
    <r>
      <t xml:space="preserve">Revisar funcionalidades del módulo </t>
    </r>
    <r>
      <rPr>
        <b/>
        <sz val="11"/>
        <color theme="1"/>
        <rFont val="Helvetica"/>
        <family val="2"/>
      </rPr>
      <t>Inventario</t>
    </r>
  </si>
  <si>
    <r>
      <t xml:space="preserve">Revisar funcionalidades  del módulo </t>
    </r>
    <r>
      <rPr>
        <b/>
        <sz val="11"/>
        <color theme="1"/>
        <rFont val="Helvetica"/>
        <family val="2"/>
      </rPr>
      <t>Compras</t>
    </r>
  </si>
  <si>
    <r>
      <t xml:space="preserve">Revisar funcionalidades  del módulo </t>
    </r>
    <r>
      <rPr>
        <b/>
        <sz val="11"/>
        <color theme="1"/>
        <rFont val="Helvetica"/>
        <family val="2"/>
      </rPr>
      <t>Requisición</t>
    </r>
  </si>
  <si>
    <r>
      <t xml:space="preserve">Revisar funcionalidades  del módulo </t>
    </r>
    <r>
      <rPr>
        <b/>
        <sz val="11"/>
        <color theme="1"/>
        <rFont val="Helvetica"/>
        <family val="2"/>
      </rPr>
      <t>Empleados</t>
    </r>
  </si>
  <si>
    <r>
      <t xml:space="preserve">Revisar funcionalidades  del módulo </t>
    </r>
    <r>
      <rPr>
        <b/>
        <sz val="11"/>
        <color theme="1"/>
        <rFont val="Helvetica"/>
        <family val="2"/>
      </rPr>
      <t>Nómina</t>
    </r>
  </si>
  <si>
    <r>
      <t>Revisar funcionalidades del módulo</t>
    </r>
    <r>
      <rPr>
        <b/>
        <sz val="11"/>
        <color theme="1"/>
        <rFont val="Helvetica"/>
        <family val="2"/>
      </rPr>
      <t xml:space="preserve"> Producción Camarón</t>
    </r>
  </si>
  <si>
    <t xml:space="preserve">Documentar requerimientos de usuarios </t>
  </si>
  <si>
    <r>
      <rPr>
        <b/>
        <sz val="12"/>
        <rFont val="Helvetica"/>
        <family val="2"/>
      </rPr>
      <t>IMPLEMENTACIÓN ERP ODOO</t>
    </r>
    <r>
      <rPr>
        <sz val="12"/>
        <rFont val="Helvetica"/>
        <family val="2"/>
      </rPr>
      <t xml:space="preserve">
Tecnología, Información y Comunicación
Cronograma de actividades</t>
    </r>
  </si>
  <si>
    <t xml:space="preserve">Revisar requerimientos de usuarios </t>
  </si>
  <si>
    <t>NextGen, Oramirez</t>
  </si>
  <si>
    <t xml:space="preserve">Aprobar requerimientos de usuarios </t>
  </si>
  <si>
    <t>Desarrollar requerimientos de usuarios</t>
  </si>
  <si>
    <t>Revisar desarrollos de requerimientos de usuarios</t>
  </si>
  <si>
    <t>Elaborar plantillas y maestros</t>
  </si>
  <si>
    <t>Sem31</t>
  </si>
  <si>
    <t>Sem32</t>
  </si>
  <si>
    <t>Sem33</t>
  </si>
  <si>
    <t>Sem34</t>
  </si>
  <si>
    <t>Sem35</t>
  </si>
  <si>
    <t>Sem36</t>
  </si>
  <si>
    <t>Sem37</t>
  </si>
  <si>
    <t>Sem38</t>
  </si>
  <si>
    <t>Sem39</t>
  </si>
  <si>
    <t>Sem40</t>
  </si>
  <si>
    <t>Agosto</t>
  </si>
  <si>
    <t>Cargar plantillas y maestros</t>
  </si>
  <si>
    <t>Capacitación a usuarios</t>
  </si>
  <si>
    <t>Elaborar perfiles, roles y accesos para usuarios</t>
  </si>
  <si>
    <t>Pruebas de funcionalidades de todos los módulos del sistema</t>
  </si>
  <si>
    <t>Cargar y revisar saldos iniciales</t>
  </si>
  <si>
    <t>Septiembre</t>
  </si>
  <si>
    <t>Sep</t>
  </si>
  <si>
    <t>Entregar licencias y credenciales de usuarios</t>
  </si>
  <si>
    <t>Preparar ambiente de producción</t>
  </si>
  <si>
    <t>Ajustar configuraciones del sistema</t>
  </si>
  <si>
    <t>Salida a producción</t>
  </si>
  <si>
    <t>Sem41</t>
  </si>
  <si>
    <t>Sem42</t>
  </si>
  <si>
    <t>Sem43</t>
  </si>
  <si>
    <t>Octubre</t>
  </si>
  <si>
    <t>Oct</t>
  </si>
  <si>
    <t>Sem44</t>
  </si>
  <si>
    <t>Sem45</t>
  </si>
  <si>
    <t>Sem46</t>
  </si>
  <si>
    <t>Sem47</t>
  </si>
  <si>
    <t>Sem48</t>
  </si>
  <si>
    <t>Sem49</t>
  </si>
  <si>
    <t>Noviembre</t>
  </si>
  <si>
    <t>Diciembre</t>
  </si>
  <si>
    <t>FLopez, Mvacas , AGarcia, Jherrera, Rknezevich, Jalmeida, Administrador Finca, Oramirez</t>
  </si>
  <si>
    <t>NextGen, Agarcia, Oramirez, JHerrera</t>
  </si>
  <si>
    <t>NextGen, Agarcia, Oramirez, Jherrera</t>
  </si>
  <si>
    <t>NextGen, MVacas, Oramirez, Jherrera</t>
  </si>
  <si>
    <t>NextGen, Jherrera, Jalmeida, JLara, Oramirez, Jherrera</t>
  </si>
  <si>
    <r>
      <rPr>
        <b/>
        <sz val="12"/>
        <rFont val="Helvetica"/>
        <family val="2"/>
      </rPr>
      <t>IMPLEMENTACIÓN DASHBOARD COSTOS PISCINAS</t>
    </r>
    <r>
      <rPr>
        <sz val="12"/>
        <rFont val="Helvetica"/>
        <family val="2"/>
      </rPr>
      <t xml:space="preserve">
Tecnología, Información y Comunicación
Cronograma de actividades</t>
    </r>
  </si>
  <si>
    <t>Abril</t>
  </si>
  <si>
    <t>Sem14</t>
  </si>
  <si>
    <t>Sem15</t>
  </si>
  <si>
    <t>Sem16</t>
  </si>
  <si>
    <t>Sem17</t>
  </si>
  <si>
    <t>Sem18</t>
  </si>
  <si>
    <t>Desarrollar administración de usuarios</t>
  </si>
  <si>
    <t>Configurar de infraestructura - Hosting + Base de datos</t>
  </si>
  <si>
    <t>Desarrollar administración de productos (Grupo + Subgrupo + Categoría)</t>
  </si>
  <si>
    <t>Oramirez - Aargandoña</t>
  </si>
  <si>
    <t>Importación, detección de productos nuevos, interface de grupo, subgrupos y categorías.</t>
  </si>
  <si>
    <t>Roles: Administrador, ContadorCostos, Gerentes</t>
  </si>
  <si>
    <t>Desarrollar interface de carga de información de costos de piscinas y ciclos</t>
  </si>
  <si>
    <t xml:space="preserve"> Carga de datos de corridas (días, larvas, Has). Importación de costos por piscina desde Excel semana. Vista tabla de corridas activas</t>
  </si>
  <si>
    <t>Diseñar Dashboard Ejecutivo de costos de piscinas</t>
  </si>
  <si>
    <t>Tarjetas KPI principales. Gráficos de costo por categoría (barras apiladas). Semáforo de piscinas. Comparativo $/Has/Día entre piscinas cosechadas</t>
  </si>
  <si>
    <t>Github y Supabase</t>
  </si>
  <si>
    <t>Navegación  por piscina → corrida → transacciones. Tabla de consumos por producto con filtros Grupo/Subgrupo/Categoría. Gráfico de tallas cosechadas vs precio.</t>
  </si>
  <si>
    <t>Diseñar vista detalle por piscina</t>
  </si>
  <si>
    <t>Automatización diaria</t>
  </si>
  <si>
    <t>Carga de reporte de costos por piscina desde Acosux</t>
  </si>
  <si>
    <t>Pruebas</t>
  </si>
  <si>
    <t>Afinamiento</t>
  </si>
  <si>
    <t>Salida en vivo</t>
  </si>
  <si>
    <t>Oramirez - Aargandoña - Dgonzalez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</si>
</sst>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300A]d&quot; de &quot;mmmm&quot; de &quot;yyyy;@"/>
    <numFmt numFmtId="165" formatCode="0.0"/>
    <numFmt numFmtId="166" formatCode="[$-300A]ddd\.\ dd&quot; &quot;;"/>
    <numFmt numFmtId="167" formatCode="mmm"/>
    <numFmt numFmtId="168" formatCode="mm/dd/yy"/>
    <numFmt numFmtId="169" formatCode="0.00000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Helvetica"/>
      <family val="2"/>
    </font>
    <font>
      <b/>
      <sz val="11"/>
      <color theme="0"/>
      <name val="Helvetica"/>
      <family val="2"/>
    </font>
    <font>
      <sz val="11"/>
      <name val="Helvetica"/>
      <family val="2"/>
    </font>
    <font>
      <sz val="14"/>
      <name val="Helvetica"/>
      <family val="2"/>
    </font>
    <font>
      <b/>
      <sz val="14"/>
      <name val="Helvetica"/>
      <family val="2"/>
    </font>
    <font>
      <sz val="12"/>
      <name val="Helvetica"/>
      <family val="2"/>
    </font>
    <font>
      <sz val="8"/>
      <name val="Calibri"/>
      <family val="2"/>
      <scheme val="minor"/>
    </font>
    <font>
      <sz val="11"/>
      <color theme="0"/>
      <name val="Helvetica"/>
      <family val="2"/>
    </font>
    <font>
      <b/>
      <sz val="9"/>
      <color theme="0"/>
      <name val="Helvetica"/>
      <family val="2"/>
    </font>
    <font>
      <sz val="11"/>
      <color theme="6"/>
      <name val="Helvetica"/>
      <family val="2"/>
    </font>
    <font>
      <b/>
      <sz val="11"/>
      <name val="Helvetica"/>
      <family val="2"/>
    </font>
    <font>
      <b/>
      <sz val="11"/>
      <color theme="1"/>
      <name val="Helvetica"/>
      <family val="2"/>
    </font>
    <font>
      <sz val="11"/>
      <color theme="1"/>
      <name val="Calibri"/>
      <family val="2"/>
      <scheme val="minor"/>
    </font>
    <font>
      <b/>
      <sz val="18"/>
      <color theme="0" tint="-0.499984740745262"/>
      <name val="Century Gothic"/>
      <family val="1"/>
    </font>
    <font>
      <b/>
      <sz val="10"/>
      <color theme="4" tint="-0.249977111117893"/>
      <name val="Century Gothic"/>
      <family val="1"/>
    </font>
    <font>
      <b/>
      <sz val="16"/>
      <color theme="0" tint="-0.499984740745262"/>
      <name val="Century Gothic"/>
      <family val="1"/>
    </font>
    <font>
      <sz val="12"/>
      <color theme="1"/>
      <name val="Century Gothic"/>
      <family val="1"/>
    </font>
    <font>
      <b/>
      <sz val="9"/>
      <color theme="1"/>
      <name val="Century Gothic"/>
      <family val="1"/>
    </font>
    <font>
      <b/>
      <sz val="10"/>
      <color theme="4" tint="-0.249977111117893"/>
      <name val="Arial"/>
      <family val="2"/>
    </font>
    <font>
      <b/>
      <sz val="8"/>
      <color theme="1"/>
      <name val="Century Gothic"/>
      <family val="1"/>
    </font>
    <font>
      <b/>
      <sz val="10"/>
      <color theme="0"/>
      <name val="Century Gothic"/>
      <family val="1"/>
    </font>
    <font>
      <b/>
      <sz val="10"/>
      <color theme="1"/>
      <name val="Century Gothic"/>
      <family val="1"/>
    </font>
    <font>
      <sz val="10"/>
      <color theme="1"/>
      <name val="Century Gothic"/>
      <family val="1"/>
    </font>
    <font>
      <sz val="9"/>
      <color theme="1"/>
      <name val="Century Gothic"/>
      <family val="1"/>
    </font>
    <font>
      <sz val="10"/>
      <color theme="1"/>
      <name val="Arial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b/>
      <sz val="8"/>
      <color theme="0" tint="-0.499984740745262"/>
      <name val="Century Gothic"/>
      <family val="1"/>
    </font>
    <font>
      <b/>
      <sz val="10"/>
      <color theme="0" tint="-0.499984740745262"/>
      <name val="Century Gothic"/>
      <family val="1"/>
    </font>
    <font>
      <b/>
      <sz val="11"/>
      <color theme="0" tint="-0.499984740745262"/>
      <name val="Century Gothic"/>
      <family val="1"/>
    </font>
    <font>
      <b/>
      <sz val="12"/>
      <color theme="1"/>
      <name val="Century Gothic"/>
      <family val="1"/>
    </font>
    <font>
      <sz val="11"/>
      <color theme="8" tint="-0.249977111117893"/>
      <name val="Century Gothic"/>
      <family val="1"/>
    </font>
    <font>
      <sz val="10"/>
      <color rgb="FF000000"/>
      <name val="Helvetica"/>
      <family val="2"/>
    </font>
    <font>
      <sz val="10"/>
      <color rgb="FFBDD7EE"/>
      <name val="Helvetica"/>
      <family val="2"/>
    </font>
    <font>
      <sz val="8"/>
      <color theme="1"/>
      <name val="Helvetica"/>
      <family val="2"/>
    </font>
    <font>
      <b/>
      <sz val="11"/>
      <color theme="4"/>
      <name val="Helvetica"/>
      <family val="2"/>
    </font>
    <font>
      <b/>
      <sz val="12"/>
      <name val="Helvetica"/>
      <family val="2"/>
    </font>
    <font>
      <sz val="10"/>
      <color theme="1"/>
      <name val="Helvetica"/>
      <family val="2"/>
    </font>
    <font>
      <b/>
      <sz val="10"/>
      <color theme="4"/>
      <name val="Helvetica"/>
      <family val="2"/>
    </font>
    <font>
      <b/>
      <sz val="10"/>
      <color theme="1"/>
      <name val="Helvetica"/>
      <family val="2"/>
    </font>
    <font>
      <b/>
      <sz val="8"/>
      <color theme="1"/>
      <name val="Helvetica"/>
      <family val="2"/>
    </font>
    <font>
      <sz val="10"/>
      <color theme="8" tint="0.59999389629810485"/>
      <name val="Helvetica"/>
      <family val="2"/>
    </font>
    <font>
      <b/>
      <sz val="10"/>
      <color theme="2" tint="-0.499984740745262"/>
      <name val="Helvetica"/>
      <family val="2"/>
    </font>
    <font>
      <b/>
      <sz val="8"/>
      <color theme="9"/>
      <name val="Helvetica"/>
      <family val="2"/>
    </font>
  </fonts>
  <fills count="35">
    <fill>
      <patternFill patternType="none"/>
    </fill>
    <fill>
      <patternFill patternType="gray125"/>
    </fill>
    <fill>
      <patternFill patternType="solid">
        <fgColor rgb="FF3760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double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/>
      <top style="thin">
        <color theme="0" tint="-0.34998626667073579"/>
      </top>
      <bottom style="thin">
        <color theme="0" tint="-0.249977111117893"/>
      </bottom>
      <diagonal/>
    </border>
    <border>
      <left/>
      <right/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/>
      <top/>
      <bottom style="double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medium">
        <color theme="0" tint="-0.34998626667073579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medium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 style="thin">
        <color theme="0" tint="-0.249977111117893"/>
      </top>
      <bottom style="thin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35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quotePrefix="1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quotePrefix="1" applyFont="1" applyBorder="1" applyAlignment="1">
      <alignment vertical="center" wrapText="1"/>
    </xf>
    <xf numFmtId="0" fontId="3" fillId="0" borderId="4" xfId="0" quotePrefix="1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164" fontId="3" fillId="0" borderId="2" xfId="0" quotePrefix="1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2" xfId="0" quotePrefix="1" applyFont="1" applyBorder="1" applyAlignment="1">
      <alignment horizontal="center" vertical="center" wrapText="1"/>
    </xf>
    <xf numFmtId="1" fontId="3" fillId="0" borderId="2" xfId="0" quotePrefix="1" applyNumberFormat="1" applyFont="1" applyBorder="1" applyAlignment="1">
      <alignment horizontal="center" vertical="center" wrapText="1"/>
    </xf>
    <xf numFmtId="0" fontId="1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3" fillId="4" borderId="2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166" fontId="9" fillId="2" borderId="2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3" borderId="0" xfId="0" applyFont="1" applyFill="1" applyAlignment="1">
      <alignment horizontal="center"/>
    </xf>
    <xf numFmtId="167" fontId="10" fillId="0" borderId="0" xfId="0" applyNumberFormat="1" applyFont="1"/>
    <xf numFmtId="14" fontId="3" fillId="0" borderId="2" xfId="0" quotePrefix="1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49" fontId="3" fillId="0" borderId="2" xfId="0" quotePrefix="1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1" fillId="9" borderId="2" xfId="0" applyFont="1" applyFill="1" applyBorder="1" applyAlignment="1">
      <alignment vertical="center" wrapText="1"/>
    </xf>
    <xf numFmtId="0" fontId="1" fillId="0" borderId="2" xfId="0" applyFont="1" applyBorder="1"/>
    <xf numFmtId="0" fontId="1" fillId="0" borderId="2" xfId="0" applyFont="1" applyBorder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12" fillId="0" borderId="2" xfId="0" applyFont="1" applyBorder="1"/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2" fillId="2" borderId="1" xfId="0" applyFont="1" applyFill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/>
    </xf>
    <xf numFmtId="0" fontId="12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8" borderId="2" xfId="0" applyFont="1" applyFill="1" applyBorder="1"/>
    <xf numFmtId="49" fontId="3" fillId="0" borderId="7" xfId="0" quotePrefix="1" applyNumberFormat="1" applyFont="1" applyBorder="1" applyAlignment="1">
      <alignment horizontal="left" vertical="center" wrapText="1"/>
    </xf>
    <xf numFmtId="0" fontId="3" fillId="0" borderId="7" xfId="0" quotePrefix="1" applyFont="1" applyBorder="1" applyAlignment="1">
      <alignment horizontal="left" vertical="center" wrapText="1"/>
    </xf>
    <xf numFmtId="14" fontId="3" fillId="0" borderId="7" xfId="0" quotePrefix="1" applyNumberFormat="1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8" xfId="0" applyFont="1" applyBorder="1" applyAlignment="1">
      <alignment vertical="center"/>
    </xf>
    <xf numFmtId="0" fontId="18" fillId="11" borderId="10" xfId="0" applyFont="1" applyFill="1" applyBorder="1" applyAlignment="1">
      <alignment horizontal="center" vertical="center" wrapText="1"/>
    </xf>
    <xf numFmtId="0" fontId="19" fillId="11" borderId="10" xfId="0" applyFont="1" applyFill="1" applyBorder="1" applyAlignment="1">
      <alignment horizontal="left" vertical="center"/>
    </xf>
    <xf numFmtId="0" fontId="0" fillId="0" borderId="10" xfId="0" applyBorder="1"/>
    <xf numFmtId="0" fontId="17" fillId="0" borderId="10" xfId="0" applyFont="1" applyBorder="1"/>
    <xf numFmtId="0" fontId="17" fillId="0" borderId="11" xfId="0" applyFont="1" applyBorder="1"/>
    <xf numFmtId="0" fontId="17" fillId="0" borderId="0" xfId="0" applyFont="1"/>
    <xf numFmtId="0" fontId="18" fillId="12" borderId="13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left" vertical="center"/>
    </xf>
    <xf numFmtId="0" fontId="0" fillId="0" borderId="13" xfId="0" applyBorder="1"/>
    <xf numFmtId="0" fontId="0" fillId="12" borderId="13" xfId="0" applyFill="1" applyBorder="1"/>
    <xf numFmtId="0" fontId="17" fillId="0" borderId="13" xfId="0" applyFont="1" applyBorder="1"/>
    <xf numFmtId="0" fontId="17" fillId="0" borderId="14" xfId="0" applyFont="1" applyBorder="1"/>
    <xf numFmtId="0" fontId="16" fillId="0" borderId="0" xfId="0" applyFont="1" applyAlignment="1">
      <alignment horizontal="left" vertical="center"/>
    </xf>
    <xf numFmtId="0" fontId="18" fillId="13" borderId="13" xfId="0" applyFont="1" applyFill="1" applyBorder="1" applyAlignment="1">
      <alignment horizontal="center" vertical="center" wrapText="1"/>
    </xf>
    <xf numFmtId="0" fontId="0" fillId="13" borderId="13" xfId="0" applyFill="1" applyBorder="1"/>
    <xf numFmtId="0" fontId="18" fillId="14" borderId="13" xfId="0" applyFont="1" applyFill="1" applyBorder="1" applyAlignment="1">
      <alignment horizontal="center" vertical="center" wrapText="1"/>
    </xf>
    <xf numFmtId="0" fontId="0" fillId="14" borderId="13" xfId="0" applyFill="1" applyBorder="1"/>
    <xf numFmtId="0" fontId="18" fillId="15" borderId="13" xfId="0" applyFont="1" applyFill="1" applyBorder="1" applyAlignment="1">
      <alignment horizontal="center" vertical="center" wrapText="1"/>
    </xf>
    <xf numFmtId="0" fontId="0" fillId="15" borderId="13" xfId="0" applyFill="1" applyBorder="1"/>
    <xf numFmtId="0" fontId="20" fillId="10" borderId="36" xfId="0" applyFont="1" applyFill="1" applyBorder="1" applyAlignment="1">
      <alignment vertical="center" wrapText="1"/>
    </xf>
    <xf numFmtId="0" fontId="20" fillId="10" borderId="13" xfId="0" applyFont="1" applyFill="1" applyBorder="1" applyAlignment="1">
      <alignment vertical="center" wrapText="1"/>
    </xf>
    <xf numFmtId="0" fontId="20" fillId="10" borderId="14" xfId="0" applyFont="1" applyFill="1" applyBorder="1" applyAlignment="1">
      <alignment vertical="center" wrapText="1"/>
    </xf>
    <xf numFmtId="0" fontId="22" fillId="20" borderId="38" xfId="0" applyFont="1" applyFill="1" applyBorder="1" applyAlignment="1">
      <alignment horizontal="center" vertical="center"/>
    </xf>
    <xf numFmtId="0" fontId="22" fillId="20" borderId="39" xfId="0" applyFont="1" applyFill="1" applyBorder="1" applyAlignment="1">
      <alignment horizontal="center" vertical="center"/>
    </xf>
    <xf numFmtId="0" fontId="22" fillId="21" borderId="38" xfId="0" applyFont="1" applyFill="1" applyBorder="1" applyAlignment="1">
      <alignment horizontal="center" vertical="center"/>
    </xf>
    <xf numFmtId="0" fontId="22" fillId="21" borderId="39" xfId="0" applyFont="1" applyFill="1" applyBorder="1" applyAlignment="1">
      <alignment horizontal="center" vertical="center"/>
    </xf>
    <xf numFmtId="0" fontId="22" fillId="21" borderId="40" xfId="0" applyFont="1" applyFill="1" applyBorder="1" applyAlignment="1">
      <alignment horizontal="center" vertical="center"/>
    </xf>
    <xf numFmtId="0" fontId="22" fillId="22" borderId="38" xfId="0" applyFont="1" applyFill="1" applyBorder="1" applyAlignment="1">
      <alignment horizontal="center" vertical="center"/>
    </xf>
    <xf numFmtId="0" fontId="22" fillId="22" borderId="39" xfId="0" applyFont="1" applyFill="1" applyBorder="1" applyAlignment="1">
      <alignment horizontal="center" vertical="center"/>
    </xf>
    <xf numFmtId="0" fontId="22" fillId="22" borderId="40" xfId="0" applyFont="1" applyFill="1" applyBorder="1" applyAlignment="1">
      <alignment horizontal="center" vertical="center"/>
    </xf>
    <xf numFmtId="0" fontId="22" fillId="23" borderId="38" xfId="0" applyFont="1" applyFill="1" applyBorder="1" applyAlignment="1">
      <alignment horizontal="center" vertical="center"/>
    </xf>
    <xf numFmtId="0" fontId="22" fillId="23" borderId="39" xfId="0" applyFont="1" applyFill="1" applyBorder="1" applyAlignment="1">
      <alignment horizontal="center" vertical="center"/>
    </xf>
    <xf numFmtId="0" fontId="22" fillId="23" borderId="40" xfId="0" applyFont="1" applyFill="1" applyBorder="1" applyAlignment="1">
      <alignment horizontal="center" vertical="center"/>
    </xf>
    <xf numFmtId="49" fontId="23" fillId="24" borderId="41" xfId="0" applyNumberFormat="1" applyFont="1" applyFill="1" applyBorder="1" applyAlignment="1">
      <alignment horizontal="left" vertical="center" indent="1"/>
    </xf>
    <xf numFmtId="0" fontId="18" fillId="20" borderId="0" xfId="0" applyFont="1" applyFill="1" applyAlignment="1">
      <alignment horizontal="left" vertical="center" wrapText="1"/>
    </xf>
    <xf numFmtId="46" fontId="23" fillId="20" borderId="36" xfId="0" applyNumberFormat="1" applyFont="1" applyFill="1" applyBorder="1" applyAlignment="1">
      <alignment vertical="center"/>
    </xf>
    <xf numFmtId="46" fontId="23" fillId="20" borderId="14" xfId="0" applyNumberFormat="1" applyFont="1" applyFill="1" applyBorder="1" applyAlignment="1">
      <alignment vertical="center"/>
    </xf>
    <xf numFmtId="0" fontId="23" fillId="20" borderId="37" xfId="0" applyFont="1" applyFill="1" applyBorder="1" applyAlignment="1">
      <alignment horizontal="center" vertical="center"/>
    </xf>
    <xf numFmtId="14" fontId="23" fillId="20" borderId="30" xfId="0" applyNumberFormat="1" applyFont="1" applyFill="1" applyBorder="1" applyAlignment="1">
      <alignment horizontal="center" vertical="center"/>
    </xf>
    <xf numFmtId="14" fontId="23" fillId="20" borderId="26" xfId="0" applyNumberFormat="1" applyFont="1" applyFill="1" applyBorder="1" applyAlignment="1">
      <alignment horizontal="center" vertical="center"/>
    </xf>
    <xf numFmtId="1" fontId="23" fillId="20" borderId="26" xfId="0" applyNumberFormat="1" applyFont="1" applyFill="1" applyBorder="1" applyAlignment="1">
      <alignment horizontal="center" vertical="center"/>
    </xf>
    <xf numFmtId="9" fontId="22" fillId="10" borderId="26" xfId="1" applyFont="1" applyFill="1" applyBorder="1" applyAlignment="1">
      <alignment horizontal="center" vertical="center"/>
    </xf>
    <xf numFmtId="0" fontId="23" fillId="10" borderId="45" xfId="0" applyFont="1" applyFill="1" applyBorder="1"/>
    <xf numFmtId="0" fontId="23" fillId="10" borderId="46" xfId="0" applyFont="1" applyFill="1" applyBorder="1"/>
    <xf numFmtId="0" fontId="23" fillId="10" borderId="47" xfId="0" applyFont="1" applyFill="1" applyBorder="1"/>
    <xf numFmtId="49" fontId="23" fillId="24" borderId="48" xfId="0" applyNumberFormat="1" applyFont="1" applyFill="1" applyBorder="1" applyAlignment="1">
      <alignment horizontal="left" vertical="center" indent="1"/>
    </xf>
    <xf numFmtId="0" fontId="24" fillId="0" borderId="45" xfId="0" applyFont="1" applyBorder="1" applyAlignment="1">
      <alignment horizontal="left" vertical="center" wrapText="1"/>
    </xf>
    <xf numFmtId="0" fontId="23" fillId="0" borderId="42" xfId="0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/>
    </xf>
    <xf numFmtId="0" fontId="23" fillId="8" borderId="42" xfId="0" applyFont="1" applyFill="1" applyBorder="1" applyAlignment="1">
      <alignment horizontal="center" vertical="center"/>
    </xf>
    <xf numFmtId="46" fontId="24" fillId="24" borderId="45" xfId="0" applyNumberFormat="1" applyFont="1" applyFill="1" applyBorder="1" applyAlignment="1">
      <alignment vertical="center"/>
    </xf>
    <xf numFmtId="46" fontId="23" fillId="24" borderId="14" xfId="0" applyNumberFormat="1" applyFont="1" applyFill="1" applyBorder="1" applyAlignment="1">
      <alignment vertical="center"/>
    </xf>
    <xf numFmtId="0" fontId="23" fillId="0" borderId="49" xfId="0" applyFont="1" applyBorder="1" applyAlignment="1">
      <alignment horizontal="center" vertical="center"/>
    </xf>
    <xf numFmtId="168" fontId="23" fillId="0" borderId="50" xfId="0" applyNumberFormat="1" applyFont="1" applyBorder="1" applyAlignment="1">
      <alignment horizontal="center" vertical="center"/>
    </xf>
    <xf numFmtId="1" fontId="23" fillId="24" borderId="45" xfId="0" applyNumberFormat="1" applyFont="1" applyFill="1" applyBorder="1" applyAlignment="1">
      <alignment horizontal="center" vertical="center"/>
    </xf>
    <xf numFmtId="9" fontId="22" fillId="3" borderId="26" xfId="1" applyFont="1" applyFill="1" applyBorder="1" applyAlignment="1">
      <alignment horizontal="center" vertical="center"/>
    </xf>
    <xf numFmtId="0" fontId="25" fillId="0" borderId="45" xfId="0" applyFont="1" applyBorder="1"/>
    <xf numFmtId="0" fontId="25" fillId="0" borderId="46" xfId="0" applyFont="1" applyBorder="1"/>
    <xf numFmtId="0" fontId="25" fillId="0" borderId="47" xfId="0" applyFont="1" applyBorder="1"/>
    <xf numFmtId="0" fontId="23" fillId="20" borderId="49" xfId="0" applyFont="1" applyFill="1" applyBorder="1" applyAlignment="1">
      <alignment horizontal="center" vertical="center"/>
    </xf>
    <xf numFmtId="168" fontId="23" fillId="20" borderId="50" xfId="0" applyNumberFormat="1" applyFont="1" applyFill="1" applyBorder="1" applyAlignment="1">
      <alignment horizontal="center" vertical="center"/>
    </xf>
    <xf numFmtId="168" fontId="23" fillId="20" borderId="45" xfId="0" applyNumberFormat="1" applyFont="1" applyFill="1" applyBorder="1" applyAlignment="1">
      <alignment horizontal="center" vertical="center"/>
    </xf>
    <xf numFmtId="14" fontId="23" fillId="20" borderId="45" xfId="0" applyNumberFormat="1" applyFont="1" applyFill="1" applyBorder="1" applyAlignment="1">
      <alignment horizontal="center" vertical="center"/>
    </xf>
    <xf numFmtId="0" fontId="25" fillId="10" borderId="47" xfId="0" applyFont="1" applyFill="1" applyBorder="1"/>
    <xf numFmtId="0" fontId="25" fillId="10" borderId="45" xfId="0" applyFont="1" applyFill="1" applyBorder="1"/>
    <xf numFmtId="0" fontId="25" fillId="10" borderId="46" xfId="0" applyFont="1" applyFill="1" applyBorder="1"/>
    <xf numFmtId="0" fontId="23" fillId="0" borderId="42" xfId="0" applyFont="1" applyBorder="1" applyAlignment="1">
      <alignment vertical="center"/>
    </xf>
    <xf numFmtId="168" fontId="23" fillId="0" borderId="45" xfId="0" applyNumberFormat="1" applyFont="1" applyBorder="1" applyAlignment="1">
      <alignment horizontal="center" vertical="center"/>
    </xf>
    <xf numFmtId="0" fontId="26" fillId="0" borderId="45" xfId="0" applyFont="1" applyBorder="1" applyAlignment="1">
      <alignment horizontal="left" vertical="center" wrapText="1"/>
    </xf>
    <xf numFmtId="0" fontId="26" fillId="0" borderId="50" xfId="0" applyFont="1" applyBorder="1" applyAlignment="1">
      <alignment horizontal="left" vertical="center" wrapText="1"/>
    </xf>
    <xf numFmtId="46" fontId="24" fillId="24" borderId="0" xfId="0" applyNumberFormat="1" applyFont="1" applyFill="1" applyAlignment="1">
      <alignment vertical="center"/>
    </xf>
    <xf numFmtId="0" fontId="25" fillId="0" borderId="42" xfId="0" applyFont="1" applyBorder="1"/>
    <xf numFmtId="0" fontId="26" fillId="4" borderId="0" xfId="0" applyFont="1" applyFill="1" applyAlignment="1">
      <alignment horizontal="left" vertical="center" wrapText="1"/>
    </xf>
    <xf numFmtId="46" fontId="23" fillId="4" borderId="36" xfId="0" applyNumberFormat="1" applyFont="1" applyFill="1" applyBorder="1" applyAlignment="1">
      <alignment vertical="center"/>
    </xf>
    <xf numFmtId="46" fontId="23" fillId="4" borderId="14" xfId="0" applyNumberFormat="1" applyFont="1" applyFill="1" applyBorder="1" applyAlignment="1">
      <alignment vertical="center"/>
    </xf>
    <xf numFmtId="0" fontId="23" fillId="4" borderId="49" xfId="0" applyFont="1" applyFill="1" applyBorder="1" applyAlignment="1">
      <alignment horizontal="center" vertical="center"/>
    </xf>
    <xf numFmtId="168" fontId="23" fillId="4" borderId="50" xfId="0" applyNumberFormat="1" applyFont="1" applyFill="1" applyBorder="1" applyAlignment="1">
      <alignment horizontal="center" vertical="center"/>
    </xf>
    <xf numFmtId="168" fontId="23" fillId="4" borderId="45" xfId="0" applyNumberFormat="1" applyFont="1" applyFill="1" applyBorder="1" applyAlignment="1">
      <alignment horizontal="center" vertical="center"/>
    </xf>
    <xf numFmtId="14" fontId="23" fillId="4" borderId="45" xfId="0" applyNumberFormat="1" applyFont="1" applyFill="1" applyBorder="1" applyAlignment="1">
      <alignment horizontal="center" vertical="center"/>
    </xf>
    <xf numFmtId="0" fontId="18" fillId="4" borderId="0" xfId="0" applyFont="1" applyFill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18" fillId="22" borderId="0" xfId="0" applyFont="1" applyFill="1" applyAlignment="1">
      <alignment horizontal="left" vertical="center" wrapText="1"/>
    </xf>
    <xf numFmtId="46" fontId="23" fillId="22" borderId="36" xfId="0" applyNumberFormat="1" applyFont="1" applyFill="1" applyBorder="1" applyAlignment="1">
      <alignment vertical="center"/>
    </xf>
    <xf numFmtId="46" fontId="23" fillId="22" borderId="13" xfId="0" applyNumberFormat="1" applyFont="1" applyFill="1" applyBorder="1" applyAlignment="1">
      <alignment vertical="center"/>
    </xf>
    <xf numFmtId="46" fontId="23" fillId="22" borderId="14" xfId="0" applyNumberFormat="1" applyFont="1" applyFill="1" applyBorder="1" applyAlignment="1">
      <alignment vertical="center"/>
    </xf>
    <xf numFmtId="0" fontId="23" fillId="22" borderId="49" xfId="0" applyFont="1" applyFill="1" applyBorder="1" applyAlignment="1">
      <alignment horizontal="center" vertical="center"/>
    </xf>
    <xf numFmtId="168" fontId="23" fillId="22" borderId="50" xfId="0" applyNumberFormat="1" applyFont="1" applyFill="1" applyBorder="1" applyAlignment="1">
      <alignment horizontal="center" vertical="center"/>
    </xf>
    <xf numFmtId="168" fontId="23" fillId="22" borderId="45" xfId="0" applyNumberFormat="1" applyFont="1" applyFill="1" applyBorder="1" applyAlignment="1">
      <alignment horizontal="center" vertical="center"/>
    </xf>
    <xf numFmtId="1" fontId="23" fillId="22" borderId="45" xfId="0" applyNumberFormat="1" applyFont="1" applyFill="1" applyBorder="1" applyAlignment="1">
      <alignment horizontal="center" vertical="center"/>
    </xf>
    <xf numFmtId="0" fontId="24" fillId="0" borderId="45" xfId="0" applyFont="1" applyBorder="1" applyAlignment="1">
      <alignment vertical="center" wrapText="1"/>
    </xf>
    <xf numFmtId="0" fontId="23" fillId="0" borderId="47" xfId="0" applyFont="1" applyBorder="1" applyAlignment="1">
      <alignment vertical="center"/>
    </xf>
    <xf numFmtId="0" fontId="18" fillId="22" borderId="26" xfId="0" applyFont="1" applyFill="1" applyBorder="1" applyAlignment="1">
      <alignment vertical="center" wrapText="1"/>
    </xf>
    <xf numFmtId="0" fontId="23" fillId="22" borderId="51" xfId="0" applyFont="1" applyFill="1" applyBorder="1" applyAlignment="1">
      <alignment vertical="center"/>
    </xf>
    <xf numFmtId="0" fontId="23" fillId="22" borderId="0" xfId="0" applyFont="1" applyFill="1" applyAlignment="1">
      <alignment horizontal="center" vertical="center"/>
    </xf>
    <xf numFmtId="46" fontId="24" fillId="22" borderId="0" xfId="0" applyNumberFormat="1" applyFont="1" applyFill="1" applyAlignment="1">
      <alignment vertical="center"/>
    </xf>
    <xf numFmtId="0" fontId="23" fillId="0" borderId="51" xfId="0" applyFont="1" applyBorder="1" applyAlignment="1">
      <alignment vertical="center"/>
    </xf>
    <xf numFmtId="0" fontId="26" fillId="0" borderId="45" xfId="0" applyFont="1" applyBorder="1" applyAlignment="1">
      <alignment vertical="center" wrapText="1"/>
    </xf>
    <xf numFmtId="0" fontId="23" fillId="0" borderId="13" xfId="0" applyFont="1" applyBorder="1" applyAlignment="1">
      <alignment vertical="center"/>
    </xf>
    <xf numFmtId="49" fontId="23" fillId="24" borderId="55" xfId="0" applyNumberFormat="1" applyFont="1" applyFill="1" applyBorder="1" applyAlignment="1">
      <alignment horizontal="left" vertical="center" indent="1"/>
    </xf>
    <xf numFmtId="0" fontId="18" fillId="25" borderId="26" xfId="0" applyFont="1" applyFill="1" applyBorder="1" applyAlignment="1">
      <alignment vertical="center" wrapText="1"/>
    </xf>
    <xf numFmtId="0" fontId="23" fillId="25" borderId="54" xfId="0" applyFont="1" applyFill="1" applyBorder="1" applyAlignment="1">
      <alignment vertical="center"/>
    </xf>
    <xf numFmtId="0" fontId="23" fillId="25" borderId="0" xfId="0" applyFont="1" applyFill="1" applyAlignment="1">
      <alignment horizontal="center" vertical="center"/>
    </xf>
    <xf numFmtId="46" fontId="23" fillId="25" borderId="56" xfId="0" applyNumberFormat="1" applyFont="1" applyFill="1" applyBorder="1" applyAlignment="1">
      <alignment vertical="center"/>
    </xf>
    <xf numFmtId="46" fontId="23" fillId="25" borderId="13" xfId="0" applyNumberFormat="1" applyFont="1" applyFill="1" applyBorder="1" applyAlignment="1">
      <alignment vertical="center"/>
    </xf>
    <xf numFmtId="46" fontId="23" fillId="25" borderId="14" xfId="0" applyNumberFormat="1" applyFont="1" applyFill="1" applyBorder="1" applyAlignment="1">
      <alignment vertical="center"/>
    </xf>
    <xf numFmtId="0" fontId="23" fillId="25" borderId="57" xfId="0" applyFont="1" applyFill="1" applyBorder="1" applyAlignment="1">
      <alignment horizontal="center" vertical="center"/>
    </xf>
    <xf numFmtId="168" fontId="23" fillId="25" borderId="58" xfId="0" applyNumberFormat="1" applyFont="1" applyFill="1" applyBorder="1" applyAlignment="1">
      <alignment horizontal="center" vertical="center"/>
    </xf>
    <xf numFmtId="168" fontId="23" fillId="25" borderId="59" xfId="0" applyNumberFormat="1" applyFont="1" applyFill="1" applyBorder="1" applyAlignment="1">
      <alignment horizontal="center" vertical="center"/>
    </xf>
    <xf numFmtId="1" fontId="23" fillId="25" borderId="59" xfId="0" applyNumberFormat="1" applyFont="1" applyFill="1" applyBorder="1" applyAlignment="1">
      <alignment horizontal="center" vertical="center"/>
    </xf>
    <xf numFmtId="9" fontId="22" fillId="3" borderId="54" xfId="1" applyFont="1" applyFill="1" applyBorder="1" applyAlignment="1">
      <alignment horizontal="center" vertical="center"/>
    </xf>
    <xf numFmtId="0" fontId="25" fillId="0" borderId="60" xfId="0" applyFont="1" applyBorder="1"/>
    <xf numFmtId="0" fontId="25" fillId="0" borderId="59" xfId="0" applyFont="1" applyBorder="1"/>
    <xf numFmtId="1" fontId="23" fillId="0" borderId="59" xfId="0" applyNumberFormat="1" applyFont="1" applyBorder="1" applyAlignment="1">
      <alignment horizontal="center" vertical="center"/>
    </xf>
    <xf numFmtId="0" fontId="25" fillId="0" borderId="61" xfId="0" applyFont="1" applyBorder="1"/>
    <xf numFmtId="0" fontId="23" fillId="0" borderId="54" xfId="0" applyFont="1" applyBorder="1" applyAlignment="1">
      <alignment vertical="center"/>
    </xf>
    <xf numFmtId="0" fontId="23" fillId="0" borderId="57" xfId="0" applyFont="1" applyBorder="1" applyAlignment="1">
      <alignment horizontal="center" vertical="center"/>
    </xf>
    <xf numFmtId="168" fontId="23" fillId="0" borderId="58" xfId="0" applyNumberFormat="1" applyFont="1" applyBorder="1" applyAlignment="1">
      <alignment horizontal="center" vertical="center"/>
    </xf>
    <xf numFmtId="0" fontId="23" fillId="0" borderId="56" xfId="0" applyFont="1" applyBorder="1" applyAlignment="1">
      <alignment vertical="center"/>
    </xf>
    <xf numFmtId="0" fontId="26" fillId="0" borderId="58" xfId="0" applyFont="1" applyBorder="1" applyAlignment="1">
      <alignment horizontal="left" vertical="center" wrapText="1"/>
    </xf>
    <xf numFmtId="46" fontId="23" fillId="24" borderId="62" xfId="0" applyNumberFormat="1" applyFont="1" applyFill="1" applyBorder="1" applyAlignment="1">
      <alignment vertical="center"/>
    </xf>
    <xf numFmtId="0" fontId="26" fillId="0" borderId="58" xfId="0" applyFont="1" applyBorder="1" applyAlignment="1">
      <alignment vertical="center" wrapText="1"/>
    </xf>
    <xf numFmtId="0" fontId="26" fillId="25" borderId="58" xfId="0" applyFont="1" applyFill="1" applyBorder="1" applyAlignment="1">
      <alignment horizontal="left" vertical="center" wrapText="1"/>
    </xf>
    <xf numFmtId="0" fontId="27" fillId="0" borderId="58" xfId="0" applyFont="1" applyBorder="1" applyAlignment="1">
      <alignment horizontal="left" vertical="center" wrapText="1"/>
    </xf>
    <xf numFmtId="0" fontId="26" fillId="23" borderId="58" xfId="0" applyFont="1" applyFill="1" applyBorder="1" applyAlignment="1">
      <alignment vertical="center" wrapText="1"/>
    </xf>
    <xf numFmtId="0" fontId="23" fillId="23" borderId="54" xfId="0" applyFont="1" applyFill="1" applyBorder="1" applyAlignment="1">
      <alignment vertical="center"/>
    </xf>
    <xf numFmtId="0" fontId="23" fillId="23" borderId="0" xfId="0" applyFont="1" applyFill="1" applyAlignment="1">
      <alignment horizontal="center" vertical="center"/>
    </xf>
    <xf numFmtId="46" fontId="24" fillId="23" borderId="0" xfId="0" applyNumberFormat="1" applyFont="1" applyFill="1" applyAlignment="1">
      <alignment vertical="center"/>
    </xf>
    <xf numFmtId="0" fontId="23" fillId="23" borderId="57" xfId="0" applyFont="1" applyFill="1" applyBorder="1" applyAlignment="1">
      <alignment horizontal="center" vertical="center"/>
    </xf>
    <xf numFmtId="168" fontId="23" fillId="23" borderId="58" xfId="0" applyNumberFormat="1" applyFont="1" applyFill="1" applyBorder="1" applyAlignment="1">
      <alignment horizontal="center" vertical="center"/>
    </xf>
    <xf numFmtId="168" fontId="23" fillId="23" borderId="59" xfId="0" applyNumberFormat="1" applyFont="1" applyFill="1" applyBorder="1" applyAlignment="1">
      <alignment horizontal="center" vertical="center"/>
    </xf>
    <xf numFmtId="1" fontId="23" fillId="23" borderId="59" xfId="0" applyNumberFormat="1" applyFont="1" applyFill="1" applyBorder="1" applyAlignment="1">
      <alignment horizontal="center" vertical="center"/>
    </xf>
    <xf numFmtId="0" fontId="27" fillId="0" borderId="58" xfId="0" applyFont="1" applyBorder="1" applyAlignment="1">
      <alignment wrapText="1"/>
    </xf>
    <xf numFmtId="0" fontId="25" fillId="23" borderId="59" xfId="0" applyFont="1" applyFill="1" applyBorder="1"/>
    <xf numFmtId="0" fontId="27" fillId="0" borderId="58" xfId="0" applyFont="1" applyBorder="1" applyAlignment="1">
      <alignment vertical="center" wrapText="1"/>
    </xf>
    <xf numFmtId="0" fontId="25" fillId="23" borderId="61" xfId="0" applyFont="1" applyFill="1" applyBorder="1"/>
    <xf numFmtId="1" fontId="23" fillId="24" borderId="59" xfId="0" applyNumberFormat="1" applyFont="1" applyFill="1" applyBorder="1" applyAlignment="1">
      <alignment horizontal="center" vertical="center"/>
    </xf>
    <xf numFmtId="0" fontId="25" fillId="23" borderId="60" xfId="0" applyFont="1" applyFill="1" applyBorder="1"/>
    <xf numFmtId="0" fontId="27" fillId="26" borderId="58" xfId="0" applyFont="1" applyFill="1" applyBorder="1" applyAlignment="1">
      <alignment vertical="center" wrapText="1"/>
    </xf>
    <xf numFmtId="0" fontId="23" fillId="26" borderId="54" xfId="0" applyFont="1" applyFill="1" applyBorder="1" applyAlignment="1">
      <alignment vertical="center"/>
    </xf>
    <xf numFmtId="0" fontId="23" fillId="26" borderId="0" xfId="0" applyFont="1" applyFill="1" applyAlignment="1">
      <alignment horizontal="center" vertical="center"/>
    </xf>
    <xf numFmtId="46" fontId="24" fillId="26" borderId="0" xfId="0" applyNumberFormat="1" applyFont="1" applyFill="1" applyAlignment="1">
      <alignment vertical="center"/>
    </xf>
    <xf numFmtId="46" fontId="23" fillId="26" borderId="56" xfId="0" applyNumberFormat="1" applyFont="1" applyFill="1" applyBorder="1" applyAlignment="1">
      <alignment vertical="center"/>
    </xf>
    <xf numFmtId="0" fontId="23" fillId="26" borderId="57" xfId="0" applyFont="1" applyFill="1" applyBorder="1" applyAlignment="1">
      <alignment horizontal="center" vertical="center"/>
    </xf>
    <xf numFmtId="168" fontId="23" fillId="26" borderId="58" xfId="0" applyNumberFormat="1" applyFont="1" applyFill="1" applyBorder="1" applyAlignment="1">
      <alignment horizontal="center" vertical="center"/>
    </xf>
    <xf numFmtId="168" fontId="23" fillId="26" borderId="59" xfId="0" applyNumberFormat="1" applyFont="1" applyFill="1" applyBorder="1" applyAlignment="1">
      <alignment horizontal="center" vertical="center"/>
    </xf>
    <xf numFmtId="1" fontId="23" fillId="26" borderId="59" xfId="0" applyNumberFormat="1" applyFont="1" applyFill="1" applyBorder="1" applyAlignment="1">
      <alignment horizontal="center" vertical="center"/>
    </xf>
    <xf numFmtId="0" fontId="25" fillId="0" borderId="63" xfId="0" applyFont="1" applyBorder="1"/>
    <xf numFmtId="0" fontId="23" fillId="26" borderId="64" xfId="0" applyFont="1" applyFill="1" applyBorder="1" applyAlignment="1">
      <alignment vertical="center"/>
    </xf>
    <xf numFmtId="168" fontId="23" fillId="0" borderId="59" xfId="0" applyNumberFormat="1" applyFont="1" applyBorder="1" applyAlignment="1">
      <alignment horizontal="center" vertical="center"/>
    </xf>
    <xf numFmtId="0" fontId="25" fillId="26" borderId="59" xfId="0" applyFont="1" applyFill="1" applyBorder="1"/>
    <xf numFmtId="0" fontId="25" fillId="26" borderId="60" xfId="0" applyFont="1" applyFill="1" applyBorder="1"/>
    <xf numFmtId="168" fontId="23" fillId="0" borderId="63" xfId="0" applyNumberFormat="1" applyFont="1" applyBorder="1" applyAlignment="1">
      <alignment horizontal="center" vertical="center"/>
    </xf>
    <xf numFmtId="1" fontId="23" fillId="24" borderId="65" xfId="0" applyNumberFormat="1" applyFont="1" applyFill="1" applyBorder="1" applyAlignment="1">
      <alignment horizontal="center" vertical="center"/>
    </xf>
    <xf numFmtId="9" fontId="22" fillId="3" borderId="66" xfId="1" applyFont="1" applyFill="1" applyBorder="1" applyAlignment="1">
      <alignment horizontal="center" vertical="center"/>
    </xf>
    <xf numFmtId="0" fontId="25" fillId="0" borderId="64" xfId="0" applyFont="1" applyBorder="1"/>
    <xf numFmtId="0" fontId="25" fillId="0" borderId="66" xfId="0" applyFont="1" applyBorder="1"/>
    <xf numFmtId="0" fontId="25" fillId="26" borderId="63" xfId="0" applyFont="1" applyFill="1" applyBorder="1"/>
    <xf numFmtId="0" fontId="25" fillId="0" borderId="0" xfId="0" applyFont="1"/>
    <xf numFmtId="0" fontId="25" fillId="26" borderId="64" xfId="0" applyFont="1" applyFill="1" applyBorder="1"/>
    <xf numFmtId="0" fontId="25" fillId="26" borderId="66" xfId="0" applyFont="1" applyFill="1" applyBorder="1"/>
    <xf numFmtId="49" fontId="23" fillId="24" borderId="67" xfId="0" applyNumberFormat="1" applyFont="1" applyFill="1" applyBorder="1" applyAlignment="1">
      <alignment horizontal="left" vertical="center" indent="1"/>
    </xf>
    <xf numFmtId="0" fontId="27" fillId="0" borderId="68" xfId="0" applyFont="1" applyBorder="1" applyAlignment="1">
      <alignment vertical="center" wrapText="1"/>
    </xf>
    <xf numFmtId="0" fontId="23" fillId="0" borderId="69" xfId="0" applyFont="1" applyBorder="1" applyAlignment="1">
      <alignment vertical="center"/>
    </xf>
    <xf numFmtId="0" fontId="23" fillId="0" borderId="70" xfId="0" applyFont="1" applyBorder="1" applyAlignment="1">
      <alignment horizontal="center" vertical="center"/>
    </xf>
    <xf numFmtId="46" fontId="24" fillId="24" borderId="70" xfId="0" applyNumberFormat="1" applyFont="1" applyFill="1" applyBorder="1" applyAlignment="1">
      <alignment vertical="center"/>
    </xf>
    <xf numFmtId="0" fontId="23" fillId="0" borderId="71" xfId="0" applyFont="1" applyBorder="1" applyAlignment="1">
      <alignment vertical="center"/>
    </xf>
    <xf numFmtId="46" fontId="23" fillId="24" borderId="72" xfId="0" applyNumberFormat="1" applyFont="1" applyFill="1" applyBorder="1" applyAlignment="1">
      <alignment vertical="center"/>
    </xf>
    <xf numFmtId="0" fontId="23" fillId="0" borderId="73" xfId="0" applyFont="1" applyBorder="1" applyAlignment="1">
      <alignment horizontal="center" vertical="center"/>
    </xf>
    <xf numFmtId="168" fontId="23" fillId="0" borderId="68" xfId="0" applyNumberFormat="1" applyFont="1" applyBorder="1" applyAlignment="1">
      <alignment horizontal="center" vertical="center"/>
    </xf>
    <xf numFmtId="168" fontId="23" fillId="0" borderId="74" xfId="0" applyNumberFormat="1" applyFont="1" applyBorder="1" applyAlignment="1">
      <alignment horizontal="center" vertical="center"/>
    </xf>
    <xf numFmtId="1" fontId="23" fillId="24" borderId="74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168" fontId="23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29" fillId="0" borderId="0" xfId="0" applyFont="1" applyAlignment="1">
      <alignment horizontal="center" vertical="center"/>
    </xf>
    <xf numFmtId="46" fontId="30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/>
    </xf>
    <xf numFmtId="169" fontId="30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1" fillId="0" borderId="2" xfId="0" applyNumberFormat="1" applyFont="1" applyBorder="1"/>
    <xf numFmtId="0" fontId="33" fillId="0" borderId="0" xfId="0" applyFont="1" applyAlignment="1">
      <alignment horizontal="right" vertical="center"/>
    </xf>
    <xf numFmtId="0" fontId="34" fillId="27" borderId="2" xfId="0" applyFont="1" applyFill="1" applyBorder="1" applyAlignment="1">
      <alignment horizontal="center"/>
    </xf>
    <xf numFmtId="0" fontId="33" fillId="0" borderId="0" xfId="0" applyFont="1" applyAlignment="1">
      <alignment horizontal="right"/>
    </xf>
    <xf numFmtId="0" fontId="34" fillId="28" borderId="2" xfId="0" applyFont="1" applyFill="1" applyBorder="1" applyAlignment="1">
      <alignment horizontal="center"/>
    </xf>
    <xf numFmtId="0" fontId="34" fillId="29" borderId="2" xfId="0" applyFont="1" applyFill="1" applyBorder="1" applyAlignment="1">
      <alignment horizontal="center"/>
    </xf>
    <xf numFmtId="0" fontId="34" fillId="30" borderId="2" xfId="0" applyFont="1" applyFill="1" applyBorder="1" applyAlignment="1">
      <alignment horizontal="center"/>
    </xf>
    <xf numFmtId="0" fontId="34" fillId="31" borderId="2" xfId="0" applyFont="1" applyFill="1" applyBorder="1" applyAlignment="1">
      <alignment horizontal="center"/>
    </xf>
    <xf numFmtId="0" fontId="35" fillId="0" borderId="0" xfId="0" applyFont="1"/>
    <xf numFmtId="0" fontId="36" fillId="0" borderId="0" xfId="0" applyFont="1"/>
    <xf numFmtId="0" fontId="38" fillId="0" borderId="0" xfId="0" applyFont="1"/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vertical="center" wrapText="1"/>
    </xf>
    <xf numFmtId="0" fontId="39" fillId="0" borderId="0" xfId="0" applyFont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8" fillId="0" borderId="0" xfId="0" applyFont="1" applyAlignment="1">
      <alignment vertical="center"/>
    </xf>
    <xf numFmtId="0" fontId="40" fillId="5" borderId="2" xfId="0" applyFont="1" applyFill="1" applyBorder="1" applyAlignment="1">
      <alignment horizontal="center" vertical="center"/>
    </xf>
    <xf numFmtId="0" fontId="40" fillId="5" borderId="2" xfId="0" applyFont="1" applyFill="1" applyBorder="1" applyAlignment="1">
      <alignment vertical="center" wrapText="1"/>
    </xf>
    <xf numFmtId="0" fontId="40" fillId="5" borderId="2" xfId="0" applyFont="1" applyFill="1" applyBorder="1" applyAlignment="1">
      <alignment horizontal="center" vertical="center" wrapText="1"/>
    </xf>
    <xf numFmtId="0" fontId="39" fillId="5" borderId="2" xfId="0" applyFont="1" applyFill="1" applyBorder="1" applyAlignment="1">
      <alignment horizontal="center" vertical="center"/>
    </xf>
    <xf numFmtId="0" fontId="41" fillId="5" borderId="2" xfId="0" applyFont="1" applyFill="1" applyBorder="1" applyAlignment="1">
      <alignment horizontal="left" vertical="center"/>
    </xf>
    <xf numFmtId="0" fontId="38" fillId="0" borderId="2" xfId="0" applyFont="1" applyBorder="1" applyAlignment="1">
      <alignment horizontal="center" vertical="center"/>
    </xf>
    <xf numFmtId="0" fontId="38" fillId="0" borderId="2" xfId="0" applyFont="1" applyBorder="1" applyAlignment="1">
      <alignment vertical="center" wrapText="1"/>
    </xf>
    <xf numFmtId="14" fontId="38" fillId="0" borderId="2" xfId="0" applyNumberFormat="1" applyFont="1" applyBorder="1" applyAlignment="1">
      <alignment horizontal="center" vertical="center"/>
    </xf>
    <xf numFmtId="9" fontId="39" fillId="0" borderId="2" xfId="1" applyFont="1" applyBorder="1" applyAlignment="1">
      <alignment horizontal="center" vertical="center"/>
    </xf>
    <xf numFmtId="0" fontId="35" fillId="0" borderId="2" xfId="0" applyFont="1" applyBorder="1" applyAlignment="1">
      <alignment horizontal="left" vertical="center" wrapText="1"/>
    </xf>
    <xf numFmtId="0" fontId="40" fillId="0" borderId="2" xfId="0" applyFont="1" applyBorder="1" applyAlignment="1">
      <alignment horizontal="center"/>
    </xf>
    <xf numFmtId="0" fontId="42" fillId="6" borderId="2" xfId="0" applyFont="1" applyFill="1" applyBorder="1" applyAlignment="1">
      <alignment horizontal="center"/>
    </xf>
    <xf numFmtId="0" fontId="42" fillId="13" borderId="2" xfId="0" applyFont="1" applyFill="1" applyBorder="1" applyAlignment="1">
      <alignment horizontal="center"/>
    </xf>
    <xf numFmtId="0" fontId="42" fillId="32" borderId="2" xfId="0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42" fillId="0" borderId="2" xfId="0" applyFont="1" applyBorder="1" applyAlignment="1">
      <alignment horizontal="center"/>
    </xf>
    <xf numFmtId="0" fontId="42" fillId="33" borderId="2" xfId="0" applyFont="1" applyFill="1" applyBorder="1" applyAlignment="1">
      <alignment horizontal="center"/>
    </xf>
    <xf numFmtId="0" fontId="40" fillId="0" borderId="0" xfId="0" applyFont="1" applyAlignment="1">
      <alignment horizontal="right" vertical="center"/>
    </xf>
    <xf numFmtId="9" fontId="39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/>
    </xf>
    <xf numFmtId="9" fontId="43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right"/>
    </xf>
    <xf numFmtId="9" fontId="44" fillId="0" borderId="0" xfId="1" applyFont="1" applyAlignment="1">
      <alignment horizontal="center"/>
    </xf>
    <xf numFmtId="0" fontId="38" fillId="0" borderId="0" xfId="0" applyFont="1" applyAlignment="1">
      <alignment horizontal="right" vertical="center"/>
    </xf>
    <xf numFmtId="0" fontId="39" fillId="0" borderId="0" xfId="0" applyFont="1"/>
    <xf numFmtId="0" fontId="38" fillId="0" borderId="0" xfId="0" applyFont="1" applyAlignment="1">
      <alignment horizontal="right"/>
    </xf>
    <xf numFmtId="0" fontId="42" fillId="34" borderId="2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8" fillId="0" borderId="2" xfId="0" applyFont="1" applyBorder="1" applyAlignment="1">
      <alignment horizontal="center" vertical="center" wrapText="1"/>
    </xf>
    <xf numFmtId="1" fontId="40" fillId="0" borderId="2" xfId="0" applyNumberFormat="1" applyFont="1" applyBorder="1" applyAlignment="1">
      <alignment horizontal="center" vertical="center"/>
    </xf>
    <xf numFmtId="0" fontId="38" fillId="0" borderId="75" xfId="0" applyFont="1" applyBorder="1" applyAlignment="1">
      <alignment vertical="center" wrapText="1"/>
    </xf>
    <xf numFmtId="0" fontId="38" fillId="0" borderId="2" xfId="0" applyFont="1" applyBorder="1"/>
    <xf numFmtId="0" fontId="0" fillId="0" borderId="2" xfId="0" applyBorder="1" applyAlignment="1">
      <alignment vertical="center" wrapText="1"/>
    </xf>
    <xf numFmtId="0" fontId="40" fillId="5" borderId="2" xfId="0" applyFont="1" applyFill="1" applyBorder="1"/>
    <xf numFmtId="0" fontId="38" fillId="8" borderId="2" xfId="0" applyFont="1" applyFill="1" applyBorder="1" applyAlignment="1">
      <alignment vertical="center" wrapText="1"/>
    </xf>
    <xf numFmtId="0" fontId="38" fillId="4" borderId="2" xfId="0" applyFont="1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40" fillId="5" borderId="2" xfId="0" applyFont="1" applyFill="1" applyBorder="1" applyAlignment="1">
      <alignment horizontal="center"/>
    </xf>
    <xf numFmtId="0" fontId="6" fillId="0" borderId="7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0" xfId="0" applyFont="1" applyBorder="1" applyAlignment="1">
      <alignment horizontal="center" vertical="center" wrapText="1"/>
    </xf>
    <xf numFmtId="0" fontId="40" fillId="5" borderId="76" xfId="0" applyFont="1" applyFill="1" applyBorder="1" applyAlignment="1">
      <alignment horizontal="center"/>
    </xf>
    <xf numFmtId="0" fontId="40" fillId="5" borderId="77" xfId="0" applyFont="1" applyFill="1" applyBorder="1" applyAlignment="1">
      <alignment horizontal="center"/>
    </xf>
    <xf numFmtId="0" fontId="40" fillId="5" borderId="6" xfId="0" applyFont="1" applyFill="1" applyBorder="1" applyAlignment="1">
      <alignment horizontal="center"/>
    </xf>
    <xf numFmtId="0" fontId="40" fillId="5" borderId="78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26" fillId="4" borderId="42" xfId="0" applyFont="1" applyFill="1" applyBorder="1" applyAlignment="1">
      <alignment horizontal="left" vertical="center" wrapText="1"/>
    </xf>
    <xf numFmtId="0" fontId="26" fillId="4" borderId="43" xfId="0" applyFont="1" applyFill="1" applyBorder="1" applyAlignment="1">
      <alignment horizontal="left" vertical="center" wrapText="1"/>
    </xf>
    <xf numFmtId="0" fontId="26" fillId="4" borderId="44" xfId="0" applyFont="1" applyFill="1" applyBorder="1" applyAlignment="1">
      <alignment horizontal="left" vertical="center" wrapText="1"/>
    </xf>
    <xf numFmtId="0" fontId="18" fillId="4" borderId="51" xfId="0" applyFont="1" applyFill="1" applyBorder="1" applyAlignment="1">
      <alignment horizontal="left" vertical="center" wrapText="1"/>
    </xf>
    <xf numFmtId="0" fontId="18" fillId="4" borderId="52" xfId="0" applyFont="1" applyFill="1" applyBorder="1" applyAlignment="1">
      <alignment horizontal="left" vertical="center" wrapText="1"/>
    </xf>
    <xf numFmtId="0" fontId="18" fillId="4" borderId="53" xfId="0" applyFont="1" applyFill="1" applyBorder="1" applyAlignment="1">
      <alignment horizontal="left" vertical="center" wrapText="1"/>
    </xf>
    <xf numFmtId="0" fontId="18" fillId="22" borderId="54" xfId="0" applyFont="1" applyFill="1" applyBorder="1" applyAlignment="1">
      <alignment horizontal="left" vertical="center" wrapText="1"/>
    </xf>
    <xf numFmtId="0" fontId="18" fillId="22" borderId="0" xfId="0" applyFont="1" applyFill="1" applyAlignment="1">
      <alignment horizontal="left" vertical="center" wrapText="1"/>
    </xf>
    <xf numFmtId="0" fontId="18" fillId="22" borderId="8" xfId="0" applyFont="1" applyFill="1" applyBorder="1" applyAlignment="1">
      <alignment horizontal="left" vertical="center" wrapText="1"/>
    </xf>
    <xf numFmtId="0" fontId="21" fillId="18" borderId="26" xfId="0" applyFont="1" applyFill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21" fillId="19" borderId="28" xfId="0" applyFont="1" applyFill="1" applyBorder="1" applyAlignment="1">
      <alignment horizontal="center" vertical="center"/>
    </xf>
    <xf numFmtId="0" fontId="21" fillId="19" borderId="26" xfId="0" applyFont="1" applyFill="1" applyBorder="1" applyAlignment="1">
      <alignment horizontal="center" vertical="center"/>
    </xf>
    <xf numFmtId="0" fontId="18" fillId="20" borderId="42" xfId="0" applyFont="1" applyFill="1" applyBorder="1" applyAlignment="1">
      <alignment horizontal="left" vertical="center" wrapText="1"/>
    </xf>
    <xf numFmtId="0" fontId="18" fillId="20" borderId="43" xfId="0" applyFont="1" applyFill="1" applyBorder="1" applyAlignment="1">
      <alignment horizontal="left" vertical="center" wrapText="1"/>
    </xf>
    <xf numFmtId="0" fontId="18" fillId="20" borderId="44" xfId="0" applyFont="1" applyFill="1" applyBorder="1" applyAlignment="1">
      <alignment horizontal="left" vertical="center" wrapText="1"/>
    </xf>
    <xf numFmtId="0" fontId="21" fillId="16" borderId="26" xfId="0" applyFont="1" applyFill="1" applyBorder="1" applyAlignment="1">
      <alignment horizontal="center" vertical="center"/>
    </xf>
    <xf numFmtId="0" fontId="21" fillId="17" borderId="28" xfId="0" applyFont="1" applyFill="1" applyBorder="1" applyAlignment="1">
      <alignment horizontal="center" vertical="center"/>
    </xf>
    <xf numFmtId="0" fontId="21" fillId="18" borderId="31" xfId="0" applyFont="1" applyFill="1" applyBorder="1" applyAlignment="1">
      <alignment horizontal="center" vertical="center"/>
    </xf>
    <xf numFmtId="0" fontId="21" fillId="18" borderId="32" xfId="0" applyFont="1" applyFill="1" applyBorder="1" applyAlignment="1">
      <alignment horizontal="center" vertical="center"/>
    </xf>
    <xf numFmtId="0" fontId="21" fillId="18" borderId="33" xfId="0" applyFont="1" applyFill="1" applyBorder="1" applyAlignment="1">
      <alignment horizontal="center" vertical="center"/>
    </xf>
    <xf numFmtId="0" fontId="18" fillId="10" borderId="24" xfId="0" applyFont="1" applyFill="1" applyBorder="1" applyAlignment="1">
      <alignment horizontal="center" vertical="center" wrapText="1"/>
    </xf>
    <xf numFmtId="0" fontId="0" fillId="0" borderId="26" xfId="0" applyBorder="1"/>
    <xf numFmtId="0" fontId="18" fillId="10" borderId="25" xfId="0" applyFont="1" applyFill="1" applyBorder="1" applyAlignment="1">
      <alignment horizontal="center" vertical="center" wrapText="1"/>
    </xf>
    <xf numFmtId="0" fontId="18" fillId="10" borderId="26" xfId="0" applyFont="1" applyFill="1" applyBorder="1" applyAlignment="1">
      <alignment horizontal="center" vertical="center" wrapText="1"/>
    </xf>
    <xf numFmtId="0" fontId="18" fillId="10" borderId="27" xfId="0" applyFont="1" applyFill="1" applyBorder="1" applyAlignment="1">
      <alignment horizontal="center" vertical="center" wrapText="1"/>
    </xf>
    <xf numFmtId="0" fontId="0" fillId="0" borderId="27" xfId="0" applyBorder="1"/>
    <xf numFmtId="0" fontId="21" fillId="16" borderId="28" xfId="0" applyFont="1" applyFill="1" applyBorder="1" applyAlignment="1">
      <alignment horizontal="center" vertical="center"/>
    </xf>
    <xf numFmtId="0" fontId="18" fillId="10" borderId="9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5" xfId="0" applyBorder="1"/>
    <xf numFmtId="0" fontId="20" fillId="10" borderId="16" xfId="0" applyFont="1" applyFill="1" applyBorder="1" applyAlignment="1">
      <alignment horizontal="center" vertical="center" wrapText="1"/>
    </xf>
    <xf numFmtId="0" fontId="0" fillId="0" borderId="34" xfId="0" applyBorder="1"/>
    <xf numFmtId="0" fontId="18" fillId="10" borderId="17" xfId="0" applyFont="1" applyFill="1" applyBorder="1" applyAlignment="1">
      <alignment horizontal="left" vertical="center" wrapText="1" indent="1"/>
    </xf>
    <xf numFmtId="0" fontId="0" fillId="0" borderId="28" xfId="0" applyBorder="1"/>
    <xf numFmtId="0" fontId="18" fillId="10" borderId="18" xfId="0" applyFont="1" applyFill="1" applyBorder="1" applyAlignment="1">
      <alignment horizontal="left" vertical="center" wrapText="1" indent="1"/>
    </xf>
    <xf numFmtId="0" fontId="0" fillId="0" borderId="35" xfId="0" applyBorder="1"/>
    <xf numFmtId="0" fontId="18" fillId="10" borderId="18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18" fillId="10" borderId="8" xfId="0" applyFont="1" applyFill="1" applyBorder="1" applyAlignment="1">
      <alignment horizontal="center" vertical="center" wrapText="1"/>
    </xf>
    <xf numFmtId="0" fontId="18" fillId="10" borderId="19" xfId="0" applyFont="1" applyFill="1" applyBorder="1" applyAlignment="1">
      <alignment vertical="center" wrapText="1"/>
    </xf>
    <xf numFmtId="0" fontId="0" fillId="0" borderId="20" xfId="0" applyBorder="1"/>
    <xf numFmtId="0" fontId="0" fillId="0" borderId="21" xfId="0" applyBorder="1"/>
    <xf numFmtId="0" fontId="18" fillId="10" borderId="22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0" fontId="18" fillId="10" borderId="23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103374</xdr:colOff>
      <xdr:row>1</xdr:row>
      <xdr:rowOff>373798</xdr:rowOff>
    </xdr:from>
    <xdr:to>
      <xdr:col>2</xdr:col>
      <xdr:colOff>867984</xdr:colOff>
      <xdr:row>1</xdr:row>
      <xdr:rowOff>771943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A5F3C46-0031-7749-8225-A5239E3E2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723" y="565775"/>
          <a:ext cx="1748658" cy="398145"/>
        </a:xfrm>
        <a:prstGeom prst="rect">
          <a:avLst/>
        </a:prstGeom>
      </xdr:spPr>
    </xdr:pic>
    <xdr:clientData/>
  </xdr:twoCellAnchor>
  <xdr:twoCellAnchor editAs="oneCell">
    <xdr:from>
      <xdr:col>2</xdr:col>
      <xdr:colOff>963620</xdr:colOff>
      <xdr:row>1</xdr:row>
      <xdr:rowOff>390732</xdr:rowOff>
    </xdr:from>
    <xdr:to>
      <xdr:col>2</xdr:col>
      <xdr:colOff>2745153</xdr:colOff>
      <xdr:row>1</xdr:row>
      <xdr:rowOff>755222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2837B64-5536-8845-A3A9-739387643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3620" y="583156"/>
          <a:ext cx="1781533" cy="364490"/>
        </a:xfrm>
        <a:prstGeom prst="rect">
          <a:avLst/>
        </a:prstGeom>
      </xdr:spPr>
    </xdr:pic>
    <xdr:clientData/>
  </xdr:twoCellAnchor>
  <xdr:twoCellAnchor>
    <xdr:from>
      <xdr:col>2</xdr:col>
      <xdr:colOff>879067</xdr:colOff>
      <xdr:row>1</xdr:row>
      <xdr:rowOff>191977</xdr:rowOff>
    </xdr:from>
    <xdr:to>
      <xdr:col>2</xdr:col>
      <xdr:colOff>879067</xdr:colOff>
      <xdr:row>1</xdr:row>
      <xdr:rowOff>988267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BDB6B090-2FA4-C64B-8D18-5254F66B632D}"/>
            </a:ext>
          </a:extLst>
        </xdr:cNvPr>
        <xdr:cNvCxnSpPr/>
      </xdr:nvCxnSpPr>
      <xdr:spPr>
        <a:xfrm>
          <a:off x="2149067" y="384401"/>
          <a:ext cx="0" cy="796290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103374</xdr:colOff>
      <xdr:row>1</xdr:row>
      <xdr:rowOff>373798</xdr:rowOff>
    </xdr:from>
    <xdr:to>
      <xdr:col>2</xdr:col>
      <xdr:colOff>1172730</xdr:colOff>
      <xdr:row>1</xdr:row>
      <xdr:rowOff>771943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436DB7-C021-B941-91BD-8C3474D1C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474" y="564298"/>
          <a:ext cx="1744819" cy="398145"/>
        </a:xfrm>
        <a:prstGeom prst="rect">
          <a:avLst/>
        </a:prstGeom>
      </xdr:spPr>
    </xdr:pic>
    <xdr:clientData/>
  </xdr:twoCellAnchor>
  <xdr:twoCellAnchor editAs="oneCell">
    <xdr:from>
      <xdr:col>2</xdr:col>
      <xdr:colOff>1648288</xdr:colOff>
      <xdr:row>1</xdr:row>
      <xdr:rowOff>390732</xdr:rowOff>
    </xdr:from>
    <xdr:to>
      <xdr:col>4</xdr:col>
      <xdr:colOff>88603</xdr:colOff>
      <xdr:row>1</xdr:row>
      <xdr:rowOff>755222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2B3BE7-D3BF-3C44-824C-DD410D24E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68521" y="582709"/>
          <a:ext cx="1792524" cy="364490"/>
        </a:xfrm>
        <a:prstGeom prst="rect">
          <a:avLst/>
        </a:prstGeom>
      </xdr:spPr>
    </xdr:pic>
    <xdr:clientData/>
  </xdr:twoCellAnchor>
  <xdr:twoCellAnchor>
    <xdr:from>
      <xdr:col>2</xdr:col>
      <xdr:colOff>1556134</xdr:colOff>
      <xdr:row>1</xdr:row>
      <xdr:rowOff>177209</xdr:rowOff>
    </xdr:from>
    <xdr:to>
      <xdr:col>2</xdr:col>
      <xdr:colOff>1556134</xdr:colOff>
      <xdr:row>1</xdr:row>
      <xdr:rowOff>973499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CBEAED7C-AFEA-9044-87A6-4DD8657A64D4}"/>
            </a:ext>
          </a:extLst>
        </xdr:cNvPr>
        <xdr:cNvCxnSpPr/>
      </xdr:nvCxnSpPr>
      <xdr:spPr>
        <a:xfrm>
          <a:off x="2176367" y="369186"/>
          <a:ext cx="0" cy="796290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150090</xdr:colOff>
      <xdr:row>1</xdr:row>
      <xdr:rowOff>227060</xdr:rowOff>
    </xdr:from>
    <xdr:to>
      <xdr:col>4</xdr:col>
      <xdr:colOff>1471668</xdr:colOff>
      <xdr:row>4</xdr:row>
      <xdr:rowOff>97919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C80633-0FF3-1E45-B353-CBF3C1026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290" y="417560"/>
          <a:ext cx="2039705" cy="5312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16</xdr:row>
      <xdr:rowOff>127000</xdr:rowOff>
    </xdr:from>
    <xdr:to>
      <xdr:col>7</xdr:col>
      <xdr:colOff>457200</xdr:colOff>
      <xdr:row>18</xdr:row>
      <xdr:rowOff>177800</xdr:rowOff>
    </xdr:to>
    <xdr:sp macro="" textlink="">
      <xdr:nvSpPr>
        <xdr:cNvPr id="3" name="Rectángulo redondeado 2">
          <a:extLst>
            <a:ext uri="{FF2B5EF4-FFF2-40B4-BE49-F238E27FC236}">
              <a16:creationId xmlns:a16="http://schemas.microsoft.com/office/drawing/2014/main" id="{DD18C05B-004B-D290-5404-288E9DACFAA9}"/>
            </a:ext>
          </a:extLst>
        </xdr:cNvPr>
        <xdr:cNvSpPr/>
      </xdr:nvSpPr>
      <xdr:spPr>
        <a:xfrm>
          <a:off x="4127500" y="4699000"/>
          <a:ext cx="2108200" cy="431800"/>
        </a:xfrm>
        <a:prstGeom prst="roundRect">
          <a:avLst/>
        </a:prstGeom>
        <a:solidFill>
          <a:schemeClr val="accent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/>
            <a:t>1. Implementación ERP ODOO</a:t>
          </a:r>
        </a:p>
      </xdr:txBody>
    </xdr:sp>
    <xdr:clientData/>
  </xdr:twoCellAnchor>
  <xdr:twoCellAnchor>
    <xdr:from>
      <xdr:col>0</xdr:col>
      <xdr:colOff>368300</xdr:colOff>
      <xdr:row>20</xdr:row>
      <xdr:rowOff>177800</xdr:rowOff>
    </xdr:from>
    <xdr:to>
      <xdr:col>3</xdr:col>
      <xdr:colOff>0</xdr:colOff>
      <xdr:row>23</xdr:row>
      <xdr:rowOff>38100</xdr:rowOff>
    </xdr:to>
    <xdr:sp macro="" textlink="">
      <xdr:nvSpPr>
        <xdr:cNvPr id="4" name="Rectángulo redondeado 3">
          <a:extLst>
            <a:ext uri="{FF2B5EF4-FFF2-40B4-BE49-F238E27FC236}">
              <a16:creationId xmlns:a16="http://schemas.microsoft.com/office/drawing/2014/main" id="{80C71604-9D9B-4848-B1BA-125830E7B1E5}"/>
            </a:ext>
          </a:extLst>
        </xdr:cNvPr>
        <xdr:cNvSpPr/>
      </xdr:nvSpPr>
      <xdr:spPr>
        <a:xfrm>
          <a:off x="368300" y="5511800"/>
          <a:ext cx="2108200" cy="431800"/>
        </a:xfrm>
        <a:prstGeom prst="roundRect">
          <a:avLst/>
        </a:prstGeom>
        <a:solidFill>
          <a:schemeClr val="accent5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/>
            <a:t>1.1 Gestión de Proyectos</a:t>
          </a:r>
        </a:p>
      </xdr:txBody>
    </xdr:sp>
    <xdr:clientData/>
  </xdr:twoCellAnchor>
  <xdr:twoCellAnchor>
    <xdr:from>
      <xdr:col>4</xdr:col>
      <xdr:colOff>0</xdr:colOff>
      <xdr:row>20</xdr:row>
      <xdr:rowOff>177800</xdr:rowOff>
    </xdr:from>
    <xdr:to>
      <xdr:col>6</xdr:col>
      <xdr:colOff>457200</xdr:colOff>
      <xdr:row>23</xdr:row>
      <xdr:rowOff>38100</xdr:rowOff>
    </xdr:to>
    <xdr:sp macro="" textlink="">
      <xdr:nvSpPr>
        <xdr:cNvPr id="5" name="Rectángulo redondeado 4">
          <a:extLst>
            <a:ext uri="{FF2B5EF4-FFF2-40B4-BE49-F238E27FC236}">
              <a16:creationId xmlns:a16="http://schemas.microsoft.com/office/drawing/2014/main" id="{D53539DE-CC0E-6A41-A70F-ACE8E15991FD}"/>
            </a:ext>
          </a:extLst>
        </xdr:cNvPr>
        <xdr:cNvSpPr/>
      </xdr:nvSpPr>
      <xdr:spPr>
        <a:xfrm>
          <a:off x="3302000" y="5511800"/>
          <a:ext cx="2108200" cy="431800"/>
        </a:xfrm>
        <a:prstGeom prst="roundRect">
          <a:avLst/>
        </a:prstGeom>
        <a:solidFill>
          <a:schemeClr val="accent5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/>
            <a:t>1.2 Inicio</a:t>
          </a:r>
          <a:r>
            <a:rPr lang="es-MX" sz="1100" baseline="0"/>
            <a:t> del proyecto</a:t>
          </a:r>
          <a:endParaRPr lang="es-MX" sz="1100"/>
        </a:p>
      </xdr:txBody>
    </xdr:sp>
    <xdr:clientData/>
  </xdr:twoCellAnchor>
  <xdr:twoCellAnchor>
    <xdr:from>
      <xdr:col>7</xdr:col>
      <xdr:colOff>457200</xdr:colOff>
      <xdr:row>20</xdr:row>
      <xdr:rowOff>165100</xdr:rowOff>
    </xdr:from>
    <xdr:to>
      <xdr:col>10</xdr:col>
      <xdr:colOff>88900</xdr:colOff>
      <xdr:row>23</xdr:row>
      <xdr:rowOff>25400</xdr:rowOff>
    </xdr:to>
    <xdr:sp macro="" textlink="">
      <xdr:nvSpPr>
        <xdr:cNvPr id="6" name="Rectángulo redondeado 5">
          <a:extLst>
            <a:ext uri="{FF2B5EF4-FFF2-40B4-BE49-F238E27FC236}">
              <a16:creationId xmlns:a16="http://schemas.microsoft.com/office/drawing/2014/main" id="{BFD12479-50DA-8A44-8BC1-5F94B6EEFD83}"/>
            </a:ext>
          </a:extLst>
        </xdr:cNvPr>
        <xdr:cNvSpPr/>
      </xdr:nvSpPr>
      <xdr:spPr>
        <a:xfrm>
          <a:off x="6235700" y="5499100"/>
          <a:ext cx="2108200" cy="431800"/>
        </a:xfrm>
        <a:prstGeom prst="roundRect">
          <a:avLst/>
        </a:prstGeom>
        <a:solidFill>
          <a:schemeClr val="accent5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/>
            <a:t>1.3</a:t>
          </a:r>
          <a:r>
            <a:rPr lang="es-MX" sz="1100" baseline="0"/>
            <a:t> Ejecución</a:t>
          </a:r>
          <a:endParaRPr lang="es-MX" sz="1100"/>
        </a:p>
      </xdr:txBody>
    </xdr:sp>
    <xdr:clientData/>
  </xdr:twoCellAnchor>
  <xdr:twoCellAnchor>
    <xdr:from>
      <xdr:col>11</xdr:col>
      <xdr:colOff>0</xdr:colOff>
      <xdr:row>20</xdr:row>
      <xdr:rowOff>152400</xdr:rowOff>
    </xdr:from>
    <xdr:to>
      <xdr:col>13</xdr:col>
      <xdr:colOff>457200</xdr:colOff>
      <xdr:row>23</xdr:row>
      <xdr:rowOff>12700</xdr:rowOff>
    </xdr:to>
    <xdr:sp macro="" textlink="">
      <xdr:nvSpPr>
        <xdr:cNvPr id="7" name="Rectángulo redondeado 6">
          <a:extLst>
            <a:ext uri="{FF2B5EF4-FFF2-40B4-BE49-F238E27FC236}">
              <a16:creationId xmlns:a16="http://schemas.microsoft.com/office/drawing/2014/main" id="{0C9A4E43-FFA3-EE47-BA0E-E6634AB269B2}"/>
            </a:ext>
          </a:extLst>
        </xdr:cNvPr>
        <xdr:cNvSpPr/>
      </xdr:nvSpPr>
      <xdr:spPr>
        <a:xfrm>
          <a:off x="9080500" y="5486400"/>
          <a:ext cx="2108200" cy="431800"/>
        </a:xfrm>
        <a:prstGeom prst="roundRect">
          <a:avLst/>
        </a:prstGeom>
        <a:solidFill>
          <a:schemeClr val="accent5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/>
            <a:t>1.4</a:t>
          </a:r>
          <a:r>
            <a:rPr lang="es-MX" sz="1100" baseline="0"/>
            <a:t> Implementación</a:t>
          </a:r>
          <a:endParaRPr lang="es-MX" sz="1100"/>
        </a:p>
      </xdr:txBody>
    </xdr:sp>
    <xdr:clientData/>
  </xdr:twoCellAnchor>
  <xdr:twoCellAnchor>
    <xdr:from>
      <xdr:col>0</xdr:col>
      <xdr:colOff>616857</xdr:colOff>
      <xdr:row>24</xdr:row>
      <xdr:rowOff>12700</xdr:rowOff>
    </xdr:from>
    <xdr:to>
      <xdr:col>2</xdr:col>
      <xdr:colOff>821871</xdr:colOff>
      <xdr:row>26</xdr:row>
      <xdr:rowOff>152400</xdr:rowOff>
    </xdr:to>
    <xdr:sp macro="" textlink="">
      <xdr:nvSpPr>
        <xdr:cNvPr id="8" name="Rectángulo redondeado 7">
          <a:extLst>
            <a:ext uri="{FF2B5EF4-FFF2-40B4-BE49-F238E27FC236}">
              <a16:creationId xmlns:a16="http://schemas.microsoft.com/office/drawing/2014/main" id="{5F6A1FA6-8C1F-894A-B14B-E04DF1C6AE14}"/>
            </a:ext>
          </a:extLst>
        </xdr:cNvPr>
        <xdr:cNvSpPr/>
      </xdr:nvSpPr>
      <xdr:spPr>
        <a:xfrm>
          <a:off x="616857" y="6108700"/>
          <a:ext cx="1856014" cy="520700"/>
        </a:xfrm>
        <a:prstGeom prst="round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1.1.1</a:t>
          </a:r>
          <a:r>
            <a:rPr lang="es-MX" sz="1100" baseline="0"/>
            <a:t> Acta de constitución del proyecto</a:t>
          </a:r>
          <a:endParaRPr lang="es-MX" sz="1100"/>
        </a:p>
      </xdr:txBody>
    </xdr:sp>
    <xdr:clientData/>
  </xdr:twoCellAnchor>
  <xdr:twoCellAnchor>
    <xdr:from>
      <xdr:col>0</xdr:col>
      <xdr:colOff>635000</xdr:colOff>
      <xdr:row>27</xdr:row>
      <xdr:rowOff>177800</xdr:rowOff>
    </xdr:from>
    <xdr:to>
      <xdr:col>3</xdr:col>
      <xdr:colOff>0</xdr:colOff>
      <xdr:row>30</xdr:row>
      <xdr:rowOff>127000</xdr:rowOff>
    </xdr:to>
    <xdr:sp macro="" textlink="">
      <xdr:nvSpPr>
        <xdr:cNvPr id="9" name="Rectángulo redondeado 8">
          <a:extLst>
            <a:ext uri="{FF2B5EF4-FFF2-40B4-BE49-F238E27FC236}">
              <a16:creationId xmlns:a16="http://schemas.microsoft.com/office/drawing/2014/main" id="{87A0D172-2AED-8649-899E-540105037861}"/>
            </a:ext>
          </a:extLst>
        </xdr:cNvPr>
        <xdr:cNvSpPr/>
      </xdr:nvSpPr>
      <xdr:spPr>
        <a:xfrm>
          <a:off x="635000" y="6845300"/>
          <a:ext cx="1841500" cy="520700"/>
        </a:xfrm>
        <a:prstGeom prst="round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1.1.2</a:t>
          </a:r>
          <a:r>
            <a:rPr lang="es-MX" sz="1100" baseline="0"/>
            <a:t> Plan para la Dirección del proyecto</a:t>
          </a:r>
          <a:endParaRPr lang="es-MX" sz="1100"/>
        </a:p>
      </xdr:txBody>
    </xdr:sp>
    <xdr:clientData/>
  </xdr:twoCellAnchor>
  <xdr:twoCellAnchor>
    <xdr:from>
      <xdr:col>0</xdr:col>
      <xdr:colOff>635000</xdr:colOff>
      <xdr:row>31</xdr:row>
      <xdr:rowOff>127000</xdr:rowOff>
    </xdr:from>
    <xdr:to>
      <xdr:col>3</xdr:col>
      <xdr:colOff>0</xdr:colOff>
      <xdr:row>34</xdr:row>
      <xdr:rowOff>76200</xdr:rowOff>
    </xdr:to>
    <xdr:sp macro="" textlink="">
      <xdr:nvSpPr>
        <xdr:cNvPr id="10" name="Rectángulo redondeado 9">
          <a:extLst>
            <a:ext uri="{FF2B5EF4-FFF2-40B4-BE49-F238E27FC236}">
              <a16:creationId xmlns:a16="http://schemas.microsoft.com/office/drawing/2014/main" id="{636F55DE-9C86-DC48-8E0E-A85C273FE7E1}"/>
            </a:ext>
          </a:extLst>
        </xdr:cNvPr>
        <xdr:cNvSpPr/>
      </xdr:nvSpPr>
      <xdr:spPr>
        <a:xfrm>
          <a:off x="635000" y="7556500"/>
          <a:ext cx="1841500" cy="520700"/>
        </a:xfrm>
        <a:prstGeom prst="round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1.1.3</a:t>
          </a:r>
          <a:r>
            <a:rPr lang="es-MX" sz="1100" baseline="0"/>
            <a:t> Monitoreo y control</a:t>
          </a:r>
          <a:endParaRPr lang="es-MX" sz="1100"/>
        </a:p>
      </xdr:txBody>
    </xdr:sp>
    <xdr:clientData/>
  </xdr:twoCellAnchor>
  <xdr:twoCellAnchor>
    <xdr:from>
      <xdr:col>0</xdr:col>
      <xdr:colOff>647700</xdr:colOff>
      <xdr:row>35</xdr:row>
      <xdr:rowOff>63500</xdr:rowOff>
    </xdr:from>
    <xdr:to>
      <xdr:col>3</xdr:col>
      <xdr:colOff>12700</xdr:colOff>
      <xdr:row>38</xdr:row>
      <xdr:rowOff>12700</xdr:rowOff>
    </xdr:to>
    <xdr:sp macro="" textlink="">
      <xdr:nvSpPr>
        <xdr:cNvPr id="11" name="Rectángulo redondeado 10">
          <a:extLst>
            <a:ext uri="{FF2B5EF4-FFF2-40B4-BE49-F238E27FC236}">
              <a16:creationId xmlns:a16="http://schemas.microsoft.com/office/drawing/2014/main" id="{9C06D5DC-3539-6F47-9536-B715608F258A}"/>
            </a:ext>
          </a:extLst>
        </xdr:cNvPr>
        <xdr:cNvSpPr/>
      </xdr:nvSpPr>
      <xdr:spPr>
        <a:xfrm>
          <a:off x="647700" y="8255000"/>
          <a:ext cx="1841500" cy="520700"/>
        </a:xfrm>
        <a:prstGeom prst="round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1.1.4</a:t>
          </a:r>
          <a:r>
            <a:rPr lang="es-MX" sz="1100" baseline="0"/>
            <a:t> Cierre</a:t>
          </a:r>
          <a:endParaRPr lang="es-MX" sz="1100"/>
        </a:p>
      </xdr:txBody>
    </xdr:sp>
    <xdr:clientData/>
  </xdr:twoCellAnchor>
  <xdr:twoCellAnchor>
    <xdr:from>
      <xdr:col>0</xdr:col>
      <xdr:colOff>457200</xdr:colOff>
      <xdr:row>23</xdr:row>
      <xdr:rowOff>38100</xdr:rowOff>
    </xdr:from>
    <xdr:to>
      <xdr:col>0</xdr:col>
      <xdr:colOff>469900</xdr:colOff>
      <xdr:row>37</xdr:row>
      <xdr:rowOff>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B788EA23-7614-BC98-3C77-766C16603AED}"/>
            </a:ext>
          </a:extLst>
        </xdr:cNvPr>
        <xdr:cNvCxnSpPr/>
      </xdr:nvCxnSpPr>
      <xdr:spPr>
        <a:xfrm>
          <a:off x="457200" y="5943600"/>
          <a:ext cx="12700" cy="2628900"/>
        </a:xfrm>
        <a:prstGeom prst="line">
          <a:avLst/>
        </a:prstGeom>
        <a:ln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480786</xdr:colOff>
      <xdr:row>37</xdr:row>
      <xdr:rowOff>0</xdr:rowOff>
    </xdr:from>
    <xdr:to>
      <xdr:col>0</xdr:col>
      <xdr:colOff>635000</xdr:colOff>
      <xdr:row>37</xdr:row>
      <xdr:rowOff>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7790A934-EACC-2AF2-4CB8-7390271FFFD1}"/>
            </a:ext>
          </a:extLst>
        </xdr:cNvPr>
        <xdr:cNvCxnSpPr/>
      </xdr:nvCxnSpPr>
      <xdr:spPr>
        <a:xfrm>
          <a:off x="480786" y="8572500"/>
          <a:ext cx="154214" cy="0"/>
        </a:xfrm>
        <a:prstGeom prst="line">
          <a:avLst/>
        </a:prstGeom>
        <a:ln w="127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478972</xdr:colOff>
      <xdr:row>32</xdr:row>
      <xdr:rowOff>188686</xdr:rowOff>
    </xdr:from>
    <xdr:to>
      <xdr:col>0</xdr:col>
      <xdr:colOff>633186</xdr:colOff>
      <xdr:row>32</xdr:row>
      <xdr:rowOff>188686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46A2E1AE-7C40-9349-81BD-173F90DD5700}"/>
            </a:ext>
          </a:extLst>
        </xdr:cNvPr>
        <xdr:cNvCxnSpPr/>
      </xdr:nvCxnSpPr>
      <xdr:spPr>
        <a:xfrm>
          <a:off x="478972" y="7808686"/>
          <a:ext cx="154214" cy="0"/>
        </a:xfrm>
        <a:prstGeom prst="line">
          <a:avLst/>
        </a:prstGeom>
        <a:ln w="127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462643</xdr:colOff>
      <xdr:row>29</xdr:row>
      <xdr:rowOff>9071</xdr:rowOff>
    </xdr:from>
    <xdr:to>
      <xdr:col>0</xdr:col>
      <xdr:colOff>616857</xdr:colOff>
      <xdr:row>29</xdr:row>
      <xdr:rowOff>9071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CC5BFE61-710F-6844-A70F-C5491B32C86B}"/>
            </a:ext>
          </a:extLst>
        </xdr:cNvPr>
        <xdr:cNvCxnSpPr/>
      </xdr:nvCxnSpPr>
      <xdr:spPr>
        <a:xfrm>
          <a:off x="462643" y="7057571"/>
          <a:ext cx="154214" cy="0"/>
        </a:xfrm>
        <a:prstGeom prst="line">
          <a:avLst/>
        </a:prstGeom>
        <a:ln w="127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460829</xdr:colOff>
      <xdr:row>25</xdr:row>
      <xdr:rowOff>97971</xdr:rowOff>
    </xdr:from>
    <xdr:to>
      <xdr:col>0</xdr:col>
      <xdr:colOff>615043</xdr:colOff>
      <xdr:row>25</xdr:row>
      <xdr:rowOff>97971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0691F028-8CAF-FD4D-BB24-01E9BC3B1348}"/>
            </a:ext>
          </a:extLst>
        </xdr:cNvPr>
        <xdr:cNvCxnSpPr/>
      </xdr:nvCxnSpPr>
      <xdr:spPr>
        <a:xfrm>
          <a:off x="460829" y="6384471"/>
          <a:ext cx="154214" cy="0"/>
        </a:xfrm>
        <a:prstGeom prst="line">
          <a:avLst/>
        </a:prstGeom>
        <a:ln w="127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596900</xdr:colOff>
      <xdr:row>17</xdr:row>
      <xdr:rowOff>152400</xdr:rowOff>
    </xdr:from>
    <xdr:to>
      <xdr:col>5</xdr:col>
      <xdr:colOff>0</xdr:colOff>
      <xdr:row>20</xdr:row>
      <xdr:rowOff>177800</xdr:rowOff>
    </xdr:to>
    <xdr:cxnSp macro="">
      <xdr:nvCxnSpPr>
        <xdr:cNvPr id="24" name="Conector angular 23">
          <a:extLst>
            <a:ext uri="{FF2B5EF4-FFF2-40B4-BE49-F238E27FC236}">
              <a16:creationId xmlns:a16="http://schemas.microsoft.com/office/drawing/2014/main" id="{65445136-4194-C866-3280-D393D64E681B}"/>
            </a:ext>
          </a:extLst>
        </xdr:cNvPr>
        <xdr:cNvCxnSpPr>
          <a:stCxn id="3" idx="1"/>
          <a:endCxn id="4" idx="0"/>
        </xdr:cNvCxnSpPr>
      </xdr:nvCxnSpPr>
      <xdr:spPr>
        <a:xfrm rot="10800000" flipV="1">
          <a:off x="1422400" y="4914900"/>
          <a:ext cx="2705100" cy="596900"/>
        </a:xfrm>
        <a:prstGeom prst="bentConnector2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308429</xdr:colOff>
      <xdr:row>24</xdr:row>
      <xdr:rowOff>5645</xdr:rowOff>
    </xdr:from>
    <xdr:to>
      <xdr:col>6</xdr:col>
      <xdr:colOff>440871</xdr:colOff>
      <xdr:row>26</xdr:row>
      <xdr:rowOff>138289</xdr:rowOff>
    </xdr:to>
    <xdr:sp macro="" textlink="">
      <xdr:nvSpPr>
        <xdr:cNvPr id="26" name="Rectángulo redondeado 25">
          <a:extLst>
            <a:ext uri="{FF2B5EF4-FFF2-40B4-BE49-F238E27FC236}">
              <a16:creationId xmlns:a16="http://schemas.microsoft.com/office/drawing/2014/main" id="{CAE5BBE9-B9AB-0A47-9BED-8748720623BE}"/>
            </a:ext>
          </a:extLst>
        </xdr:cNvPr>
        <xdr:cNvSpPr/>
      </xdr:nvSpPr>
      <xdr:spPr>
        <a:xfrm>
          <a:off x="3610429" y="6101645"/>
          <a:ext cx="1783442" cy="513644"/>
        </a:xfrm>
        <a:prstGeom prst="round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1.2.1</a:t>
          </a:r>
          <a:r>
            <a:rPr lang="es-MX" sz="1100" baseline="0"/>
            <a:t> Reunión inicial de socialización del Proyecto</a:t>
          </a:r>
          <a:endParaRPr lang="es-MX" sz="1100"/>
        </a:p>
      </xdr:txBody>
    </xdr:sp>
    <xdr:clientData/>
  </xdr:twoCellAnchor>
  <xdr:twoCellAnchor>
    <xdr:from>
      <xdr:col>4</xdr:col>
      <xdr:colOff>299358</xdr:colOff>
      <xdr:row>27</xdr:row>
      <xdr:rowOff>163689</xdr:rowOff>
    </xdr:from>
    <xdr:to>
      <xdr:col>6</xdr:col>
      <xdr:colOff>451556</xdr:colOff>
      <xdr:row>30</xdr:row>
      <xdr:rowOff>112889</xdr:rowOff>
    </xdr:to>
    <xdr:sp macro="" textlink="">
      <xdr:nvSpPr>
        <xdr:cNvPr id="27" name="Rectángulo redondeado 26">
          <a:extLst>
            <a:ext uri="{FF2B5EF4-FFF2-40B4-BE49-F238E27FC236}">
              <a16:creationId xmlns:a16="http://schemas.microsoft.com/office/drawing/2014/main" id="{4F247E7B-8488-2141-AD61-530F09B27D59}"/>
            </a:ext>
          </a:extLst>
        </xdr:cNvPr>
        <xdr:cNvSpPr/>
      </xdr:nvSpPr>
      <xdr:spPr>
        <a:xfrm>
          <a:off x="3601358" y="6831189"/>
          <a:ext cx="1803198" cy="520700"/>
        </a:xfrm>
        <a:prstGeom prst="round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1.2.2</a:t>
          </a:r>
          <a:r>
            <a:rPr lang="es-MX" sz="1100" baseline="0"/>
            <a:t> Registro de interesados</a:t>
          </a:r>
          <a:endParaRPr lang="es-MX" sz="1100"/>
        </a:p>
      </xdr:txBody>
    </xdr:sp>
    <xdr:clientData/>
  </xdr:twoCellAnchor>
  <xdr:twoCellAnchor>
    <xdr:from>
      <xdr:col>4</xdr:col>
      <xdr:colOff>308430</xdr:colOff>
      <xdr:row>31</xdr:row>
      <xdr:rowOff>112888</xdr:rowOff>
    </xdr:from>
    <xdr:to>
      <xdr:col>6</xdr:col>
      <xdr:colOff>451556</xdr:colOff>
      <xdr:row>35</xdr:row>
      <xdr:rowOff>9071</xdr:rowOff>
    </xdr:to>
    <xdr:sp macro="" textlink="">
      <xdr:nvSpPr>
        <xdr:cNvPr id="28" name="Rectángulo redondeado 27">
          <a:extLst>
            <a:ext uri="{FF2B5EF4-FFF2-40B4-BE49-F238E27FC236}">
              <a16:creationId xmlns:a16="http://schemas.microsoft.com/office/drawing/2014/main" id="{1DCE7EAA-6FB3-E048-9FE6-DE9BB675C38B}"/>
            </a:ext>
          </a:extLst>
        </xdr:cNvPr>
        <xdr:cNvSpPr/>
      </xdr:nvSpPr>
      <xdr:spPr>
        <a:xfrm>
          <a:off x="3610430" y="7542388"/>
          <a:ext cx="1794126" cy="658183"/>
        </a:xfrm>
        <a:prstGeom prst="round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1.2.3</a:t>
          </a:r>
          <a:r>
            <a:rPr lang="es-MX" sz="1100" baseline="0"/>
            <a:t> Documentación de procesos críticos de las áreas usuarias</a:t>
          </a:r>
          <a:endParaRPr lang="es-MX" sz="1100"/>
        </a:p>
      </xdr:txBody>
    </xdr:sp>
    <xdr:clientData/>
  </xdr:twoCellAnchor>
  <xdr:twoCellAnchor>
    <xdr:from>
      <xdr:col>4</xdr:col>
      <xdr:colOff>132644</xdr:colOff>
      <xdr:row>23</xdr:row>
      <xdr:rowOff>31044</xdr:rowOff>
    </xdr:from>
    <xdr:to>
      <xdr:col>4</xdr:col>
      <xdr:colOff>148167</xdr:colOff>
      <xdr:row>44</xdr:row>
      <xdr:rowOff>105833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E0F72684-E106-5049-A177-6C2613D60CEC}"/>
            </a:ext>
          </a:extLst>
        </xdr:cNvPr>
        <xdr:cNvCxnSpPr/>
      </xdr:nvCxnSpPr>
      <xdr:spPr>
        <a:xfrm>
          <a:off x="3434644" y="5936544"/>
          <a:ext cx="15523" cy="4075289"/>
        </a:xfrm>
        <a:prstGeom prst="line">
          <a:avLst/>
        </a:prstGeom>
        <a:ln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150585</xdr:colOff>
      <xdr:row>33</xdr:row>
      <xdr:rowOff>41728</xdr:rowOff>
    </xdr:from>
    <xdr:to>
      <xdr:col>4</xdr:col>
      <xdr:colOff>304799</xdr:colOff>
      <xdr:row>33</xdr:row>
      <xdr:rowOff>41728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407B1601-7CA6-094B-8E26-C39FA3869D52}"/>
            </a:ext>
          </a:extLst>
        </xdr:cNvPr>
        <xdr:cNvCxnSpPr/>
      </xdr:nvCxnSpPr>
      <xdr:spPr>
        <a:xfrm>
          <a:off x="3452585" y="7852228"/>
          <a:ext cx="154214" cy="0"/>
        </a:xfrm>
        <a:prstGeom prst="line">
          <a:avLst/>
        </a:prstGeom>
        <a:ln w="127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130627</xdr:colOff>
      <xdr:row>29</xdr:row>
      <xdr:rowOff>3628</xdr:rowOff>
    </xdr:from>
    <xdr:to>
      <xdr:col>4</xdr:col>
      <xdr:colOff>284841</xdr:colOff>
      <xdr:row>29</xdr:row>
      <xdr:rowOff>3628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86CEF4C2-9068-1E40-B5C0-B87097F07F3A}"/>
            </a:ext>
          </a:extLst>
        </xdr:cNvPr>
        <xdr:cNvCxnSpPr/>
      </xdr:nvCxnSpPr>
      <xdr:spPr>
        <a:xfrm>
          <a:off x="3432627" y="7052128"/>
          <a:ext cx="154214" cy="0"/>
        </a:xfrm>
        <a:prstGeom prst="line">
          <a:avLst/>
        </a:prstGeom>
        <a:ln w="127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136071</xdr:colOff>
      <xdr:row>25</xdr:row>
      <xdr:rowOff>45357</xdr:rowOff>
    </xdr:from>
    <xdr:to>
      <xdr:col>4</xdr:col>
      <xdr:colOff>290285</xdr:colOff>
      <xdr:row>25</xdr:row>
      <xdr:rowOff>45357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E6B8E8E1-9A48-9249-93C9-0898EA9E1BF7}"/>
            </a:ext>
          </a:extLst>
        </xdr:cNvPr>
        <xdr:cNvCxnSpPr/>
      </xdr:nvCxnSpPr>
      <xdr:spPr>
        <a:xfrm>
          <a:off x="3438071" y="6331857"/>
          <a:ext cx="154214" cy="0"/>
        </a:xfrm>
        <a:prstGeom prst="line">
          <a:avLst/>
        </a:prstGeom>
        <a:ln w="127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489858</xdr:colOff>
      <xdr:row>18</xdr:row>
      <xdr:rowOff>181428</xdr:rowOff>
    </xdr:from>
    <xdr:to>
      <xdr:col>5</xdr:col>
      <xdr:colOff>807358</xdr:colOff>
      <xdr:row>20</xdr:row>
      <xdr:rowOff>154213</xdr:rowOff>
    </xdr:to>
    <xdr:cxnSp macro="">
      <xdr:nvCxnSpPr>
        <xdr:cNvPr id="35" name="Conector angular 34">
          <a:extLst>
            <a:ext uri="{FF2B5EF4-FFF2-40B4-BE49-F238E27FC236}">
              <a16:creationId xmlns:a16="http://schemas.microsoft.com/office/drawing/2014/main" id="{0E7ABA18-4DB8-CF7F-D5CC-D5DDABEC729F}"/>
            </a:ext>
          </a:extLst>
        </xdr:cNvPr>
        <xdr:cNvCxnSpPr/>
      </xdr:nvCxnSpPr>
      <xdr:spPr>
        <a:xfrm rot="5400000">
          <a:off x="4599215" y="5152571"/>
          <a:ext cx="353785" cy="317500"/>
        </a:xfrm>
        <a:prstGeom prst="bentConnector3">
          <a:avLst/>
        </a:prstGeom>
        <a:ln w="127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315687</xdr:colOff>
      <xdr:row>35</xdr:row>
      <xdr:rowOff>138288</xdr:rowOff>
    </xdr:from>
    <xdr:to>
      <xdr:col>6</xdr:col>
      <xdr:colOff>458813</xdr:colOff>
      <xdr:row>38</xdr:row>
      <xdr:rowOff>95250</xdr:rowOff>
    </xdr:to>
    <xdr:sp macro="" textlink="">
      <xdr:nvSpPr>
        <xdr:cNvPr id="37" name="Rectángulo redondeado 36">
          <a:extLst>
            <a:ext uri="{FF2B5EF4-FFF2-40B4-BE49-F238E27FC236}">
              <a16:creationId xmlns:a16="http://schemas.microsoft.com/office/drawing/2014/main" id="{786070DD-9627-0E41-B3A1-AA2211587CCF}"/>
            </a:ext>
          </a:extLst>
        </xdr:cNvPr>
        <xdr:cNvSpPr/>
      </xdr:nvSpPr>
      <xdr:spPr>
        <a:xfrm>
          <a:off x="3617687" y="8329788"/>
          <a:ext cx="1794126" cy="528462"/>
        </a:xfrm>
        <a:prstGeom prst="round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1.2.4</a:t>
          </a:r>
          <a:r>
            <a:rPr lang="es-MX" sz="1100" baseline="0"/>
            <a:t> Arquitectura de la información</a:t>
          </a:r>
          <a:endParaRPr lang="es-MX" sz="1100"/>
        </a:p>
      </xdr:txBody>
    </xdr:sp>
    <xdr:clientData/>
  </xdr:twoCellAnchor>
  <xdr:twoCellAnchor>
    <xdr:from>
      <xdr:col>4</xdr:col>
      <xdr:colOff>306916</xdr:colOff>
      <xdr:row>39</xdr:row>
      <xdr:rowOff>52917</xdr:rowOff>
    </xdr:from>
    <xdr:to>
      <xdr:col>6</xdr:col>
      <xdr:colOff>450042</xdr:colOff>
      <xdr:row>42</xdr:row>
      <xdr:rowOff>9879</xdr:rowOff>
    </xdr:to>
    <xdr:sp macro="" textlink="">
      <xdr:nvSpPr>
        <xdr:cNvPr id="38" name="Rectángulo redondeado 37">
          <a:extLst>
            <a:ext uri="{FF2B5EF4-FFF2-40B4-BE49-F238E27FC236}">
              <a16:creationId xmlns:a16="http://schemas.microsoft.com/office/drawing/2014/main" id="{684882A0-54F7-2E41-9756-5E024DF94459}"/>
            </a:ext>
          </a:extLst>
        </xdr:cNvPr>
        <xdr:cNvSpPr/>
      </xdr:nvSpPr>
      <xdr:spPr>
        <a:xfrm>
          <a:off x="3608916" y="9006417"/>
          <a:ext cx="1794126" cy="528462"/>
        </a:xfrm>
        <a:prstGeom prst="round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1.2.5</a:t>
          </a:r>
          <a:r>
            <a:rPr lang="es-MX" sz="1100" baseline="0"/>
            <a:t> Planificación Inicial</a:t>
          </a:r>
          <a:endParaRPr lang="es-MX" sz="1100"/>
        </a:p>
      </xdr:txBody>
    </xdr:sp>
    <xdr:clientData/>
  </xdr:twoCellAnchor>
  <xdr:twoCellAnchor>
    <xdr:from>
      <xdr:col>4</xdr:col>
      <xdr:colOff>165402</xdr:colOff>
      <xdr:row>37</xdr:row>
      <xdr:rowOff>14211</xdr:rowOff>
    </xdr:from>
    <xdr:to>
      <xdr:col>4</xdr:col>
      <xdr:colOff>319616</xdr:colOff>
      <xdr:row>37</xdr:row>
      <xdr:rowOff>14211</xdr:rowOff>
    </xdr:to>
    <xdr:cxnSp macro="">
      <xdr:nvCxnSpPr>
        <xdr:cNvPr id="39" name="Conector recto 38">
          <a:extLst>
            <a:ext uri="{FF2B5EF4-FFF2-40B4-BE49-F238E27FC236}">
              <a16:creationId xmlns:a16="http://schemas.microsoft.com/office/drawing/2014/main" id="{8B47E59B-0A04-544F-8AA7-25C1F3838D6F}"/>
            </a:ext>
          </a:extLst>
        </xdr:cNvPr>
        <xdr:cNvCxnSpPr/>
      </xdr:nvCxnSpPr>
      <xdr:spPr>
        <a:xfrm>
          <a:off x="3467402" y="8586711"/>
          <a:ext cx="154214" cy="0"/>
        </a:xfrm>
        <a:prstGeom prst="line">
          <a:avLst/>
        </a:prstGeom>
        <a:ln w="127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159055</xdr:colOff>
      <xdr:row>40</xdr:row>
      <xdr:rowOff>156027</xdr:rowOff>
    </xdr:from>
    <xdr:to>
      <xdr:col>4</xdr:col>
      <xdr:colOff>313269</xdr:colOff>
      <xdr:row>40</xdr:row>
      <xdr:rowOff>156027</xdr:rowOff>
    </xdr:to>
    <xdr:cxnSp macro="">
      <xdr:nvCxnSpPr>
        <xdr:cNvPr id="40" name="Conector recto 39">
          <a:extLst>
            <a:ext uri="{FF2B5EF4-FFF2-40B4-BE49-F238E27FC236}">
              <a16:creationId xmlns:a16="http://schemas.microsoft.com/office/drawing/2014/main" id="{343C3A5D-55FB-E241-ACAE-9DFE6C839EFE}"/>
            </a:ext>
          </a:extLst>
        </xdr:cNvPr>
        <xdr:cNvCxnSpPr/>
      </xdr:nvCxnSpPr>
      <xdr:spPr>
        <a:xfrm>
          <a:off x="3461055" y="9300027"/>
          <a:ext cx="154214" cy="0"/>
        </a:xfrm>
        <a:prstGeom prst="line">
          <a:avLst/>
        </a:prstGeom>
        <a:ln w="127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300566</xdr:colOff>
      <xdr:row>43</xdr:row>
      <xdr:rowOff>14817</xdr:rowOff>
    </xdr:from>
    <xdr:to>
      <xdr:col>6</xdr:col>
      <xdr:colOff>443692</xdr:colOff>
      <xdr:row>45</xdr:row>
      <xdr:rowOff>162279</xdr:rowOff>
    </xdr:to>
    <xdr:sp macro="" textlink="">
      <xdr:nvSpPr>
        <xdr:cNvPr id="42" name="Rectángulo redondeado 41">
          <a:extLst>
            <a:ext uri="{FF2B5EF4-FFF2-40B4-BE49-F238E27FC236}">
              <a16:creationId xmlns:a16="http://schemas.microsoft.com/office/drawing/2014/main" id="{C8BA6DE2-6179-A546-B33D-2AD22AE0D78E}"/>
            </a:ext>
          </a:extLst>
        </xdr:cNvPr>
        <xdr:cNvSpPr/>
      </xdr:nvSpPr>
      <xdr:spPr>
        <a:xfrm>
          <a:off x="3602566" y="9730317"/>
          <a:ext cx="1794126" cy="528462"/>
        </a:xfrm>
        <a:prstGeom prst="round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1.2.6</a:t>
          </a:r>
          <a:r>
            <a:rPr lang="es-MX" sz="1100" baseline="0"/>
            <a:t> Contratación de servicios</a:t>
          </a:r>
          <a:endParaRPr lang="es-MX" sz="1100"/>
        </a:p>
      </xdr:txBody>
    </xdr:sp>
    <xdr:clientData/>
  </xdr:twoCellAnchor>
  <xdr:twoCellAnchor>
    <xdr:from>
      <xdr:col>4</xdr:col>
      <xdr:colOff>131538</xdr:colOff>
      <xdr:row>44</xdr:row>
      <xdr:rowOff>96761</xdr:rowOff>
    </xdr:from>
    <xdr:to>
      <xdr:col>4</xdr:col>
      <xdr:colOff>285752</xdr:colOff>
      <xdr:row>44</xdr:row>
      <xdr:rowOff>96761</xdr:rowOff>
    </xdr:to>
    <xdr:cxnSp macro="">
      <xdr:nvCxnSpPr>
        <xdr:cNvPr id="43" name="Conector recto 42">
          <a:extLst>
            <a:ext uri="{FF2B5EF4-FFF2-40B4-BE49-F238E27FC236}">
              <a16:creationId xmlns:a16="http://schemas.microsoft.com/office/drawing/2014/main" id="{D52B9644-3185-8549-83E8-103352D74A5B}"/>
            </a:ext>
          </a:extLst>
        </xdr:cNvPr>
        <xdr:cNvCxnSpPr/>
      </xdr:nvCxnSpPr>
      <xdr:spPr>
        <a:xfrm>
          <a:off x="3433538" y="10002761"/>
          <a:ext cx="154214" cy="0"/>
        </a:xfrm>
        <a:prstGeom prst="line">
          <a:avLst/>
        </a:prstGeom>
        <a:ln w="127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698021</xdr:colOff>
      <xdr:row>23</xdr:row>
      <xdr:rowOff>189795</xdr:rowOff>
    </xdr:from>
    <xdr:to>
      <xdr:col>10</xdr:col>
      <xdr:colOff>1228</xdr:colOff>
      <xdr:row>26</xdr:row>
      <xdr:rowOff>131939</xdr:rowOff>
    </xdr:to>
    <xdr:sp macro="" textlink="">
      <xdr:nvSpPr>
        <xdr:cNvPr id="45" name="Rectángulo redondeado 44">
          <a:extLst>
            <a:ext uri="{FF2B5EF4-FFF2-40B4-BE49-F238E27FC236}">
              <a16:creationId xmlns:a16="http://schemas.microsoft.com/office/drawing/2014/main" id="{AEAC9FEF-4BAA-FD47-A4FD-3BC7C1117325}"/>
            </a:ext>
          </a:extLst>
        </xdr:cNvPr>
        <xdr:cNvSpPr/>
      </xdr:nvSpPr>
      <xdr:spPr>
        <a:xfrm>
          <a:off x="6502668" y="4657207"/>
          <a:ext cx="1790913" cy="524850"/>
        </a:xfrm>
        <a:prstGeom prst="round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1.3.1</a:t>
          </a:r>
          <a:r>
            <a:rPr lang="es-MX" sz="1100" baseline="0"/>
            <a:t> Desarrollo de funcionalidades</a:t>
          </a:r>
          <a:endParaRPr lang="es-MX" sz="1100"/>
        </a:p>
      </xdr:txBody>
    </xdr:sp>
    <xdr:clientData/>
  </xdr:twoCellAnchor>
  <xdr:twoCellAnchor>
    <xdr:from>
      <xdr:col>7</xdr:col>
      <xdr:colOff>723415</xdr:colOff>
      <xdr:row>28</xdr:row>
      <xdr:rowOff>10998</xdr:rowOff>
    </xdr:from>
    <xdr:to>
      <xdr:col>10</xdr:col>
      <xdr:colOff>30357</xdr:colOff>
      <xdr:row>30</xdr:row>
      <xdr:rowOff>143642</xdr:rowOff>
    </xdr:to>
    <xdr:sp macro="" textlink="">
      <xdr:nvSpPr>
        <xdr:cNvPr id="46" name="Rectángulo redondeado 45">
          <a:extLst>
            <a:ext uri="{FF2B5EF4-FFF2-40B4-BE49-F238E27FC236}">
              <a16:creationId xmlns:a16="http://schemas.microsoft.com/office/drawing/2014/main" id="{61836B97-5F1F-1049-B019-1600227E1E4F}"/>
            </a:ext>
          </a:extLst>
        </xdr:cNvPr>
        <xdr:cNvSpPr/>
      </xdr:nvSpPr>
      <xdr:spPr>
        <a:xfrm>
          <a:off x="6528062" y="5449586"/>
          <a:ext cx="1794648" cy="521115"/>
        </a:xfrm>
        <a:prstGeom prst="round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1.3.2</a:t>
          </a:r>
          <a:r>
            <a:rPr lang="es-MX" sz="1100" baseline="0"/>
            <a:t> Pruebas de usuarios</a:t>
          </a:r>
          <a:endParaRPr lang="es-MX" sz="1100"/>
        </a:p>
      </xdr:txBody>
    </xdr:sp>
    <xdr:clientData/>
  </xdr:twoCellAnchor>
  <xdr:twoCellAnchor>
    <xdr:from>
      <xdr:col>6</xdr:col>
      <xdr:colOff>228600</xdr:colOff>
      <xdr:row>18</xdr:row>
      <xdr:rowOff>177800</xdr:rowOff>
    </xdr:from>
    <xdr:to>
      <xdr:col>8</xdr:col>
      <xdr:colOff>685800</xdr:colOff>
      <xdr:row>20</xdr:row>
      <xdr:rowOff>165100</xdr:rowOff>
    </xdr:to>
    <xdr:cxnSp macro="">
      <xdr:nvCxnSpPr>
        <xdr:cNvPr id="48" name="Conector angular 47">
          <a:extLst>
            <a:ext uri="{FF2B5EF4-FFF2-40B4-BE49-F238E27FC236}">
              <a16:creationId xmlns:a16="http://schemas.microsoft.com/office/drawing/2014/main" id="{02BF5121-ED0C-FF3C-F25D-6E74A2E913F4}"/>
            </a:ext>
          </a:extLst>
        </xdr:cNvPr>
        <xdr:cNvCxnSpPr>
          <a:stCxn id="3" idx="2"/>
          <a:endCxn id="6" idx="0"/>
        </xdr:cNvCxnSpPr>
      </xdr:nvCxnSpPr>
      <xdr:spPr>
        <a:xfrm rot="16200000" flipH="1">
          <a:off x="6051550" y="4260850"/>
          <a:ext cx="368300" cy="2108200"/>
        </a:xfrm>
        <a:prstGeom prst="bentConnector3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295729</xdr:colOff>
      <xdr:row>23</xdr:row>
      <xdr:rowOff>172862</xdr:rowOff>
    </xdr:from>
    <xdr:to>
      <xdr:col>13</xdr:col>
      <xdr:colOff>428171</xdr:colOff>
      <xdr:row>26</xdr:row>
      <xdr:rowOff>115006</xdr:rowOff>
    </xdr:to>
    <xdr:sp macro="" textlink="">
      <xdr:nvSpPr>
        <xdr:cNvPr id="50" name="Rectángulo redondeado 49">
          <a:extLst>
            <a:ext uri="{FF2B5EF4-FFF2-40B4-BE49-F238E27FC236}">
              <a16:creationId xmlns:a16="http://schemas.microsoft.com/office/drawing/2014/main" id="{4FF295E3-1917-EF45-8C9E-9C503810FDF0}"/>
            </a:ext>
          </a:extLst>
        </xdr:cNvPr>
        <xdr:cNvSpPr/>
      </xdr:nvSpPr>
      <xdr:spPr>
        <a:xfrm>
          <a:off x="9376229" y="6078362"/>
          <a:ext cx="1783442" cy="513644"/>
        </a:xfrm>
        <a:prstGeom prst="round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1.4.1</a:t>
          </a:r>
          <a:r>
            <a:rPr lang="es-MX" sz="1100" baseline="0"/>
            <a:t> Salida a producción </a:t>
          </a:r>
          <a:endParaRPr lang="es-MX" sz="1100"/>
        </a:p>
      </xdr:txBody>
    </xdr:sp>
    <xdr:clientData/>
  </xdr:twoCellAnchor>
  <xdr:twoCellAnchor>
    <xdr:from>
      <xdr:col>11</xdr:col>
      <xdr:colOff>296333</xdr:colOff>
      <xdr:row>28</xdr:row>
      <xdr:rowOff>10583</xdr:rowOff>
    </xdr:from>
    <xdr:to>
      <xdr:col>13</xdr:col>
      <xdr:colOff>428775</xdr:colOff>
      <xdr:row>30</xdr:row>
      <xdr:rowOff>143227</xdr:rowOff>
    </xdr:to>
    <xdr:sp macro="" textlink="">
      <xdr:nvSpPr>
        <xdr:cNvPr id="51" name="Rectángulo redondeado 50">
          <a:extLst>
            <a:ext uri="{FF2B5EF4-FFF2-40B4-BE49-F238E27FC236}">
              <a16:creationId xmlns:a16="http://schemas.microsoft.com/office/drawing/2014/main" id="{C2F0ADCA-14CF-7849-9611-3A231FAC0633}"/>
            </a:ext>
          </a:extLst>
        </xdr:cNvPr>
        <xdr:cNvSpPr/>
      </xdr:nvSpPr>
      <xdr:spPr>
        <a:xfrm>
          <a:off x="9417921" y="5449171"/>
          <a:ext cx="1790913" cy="521115"/>
        </a:xfrm>
        <a:prstGeom prst="round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1.4.2</a:t>
          </a:r>
          <a:r>
            <a:rPr lang="es-MX" sz="1100" baseline="0"/>
            <a:t> Estabilización</a:t>
          </a:r>
          <a:endParaRPr lang="es-MX" sz="1100"/>
        </a:p>
      </xdr:txBody>
    </xdr:sp>
    <xdr:clientData/>
  </xdr:twoCellAnchor>
  <xdr:twoCellAnchor>
    <xdr:from>
      <xdr:col>7</xdr:col>
      <xdr:colOff>457200</xdr:colOff>
      <xdr:row>17</xdr:row>
      <xdr:rowOff>152400</xdr:rowOff>
    </xdr:from>
    <xdr:to>
      <xdr:col>12</xdr:col>
      <xdr:colOff>228600</xdr:colOff>
      <xdr:row>20</xdr:row>
      <xdr:rowOff>152400</xdr:rowOff>
    </xdr:to>
    <xdr:cxnSp macro="">
      <xdr:nvCxnSpPr>
        <xdr:cNvPr id="53" name="Conector angular 52">
          <a:extLst>
            <a:ext uri="{FF2B5EF4-FFF2-40B4-BE49-F238E27FC236}">
              <a16:creationId xmlns:a16="http://schemas.microsoft.com/office/drawing/2014/main" id="{90B71603-B11C-A160-93ED-323C7B0AA63A}"/>
            </a:ext>
          </a:extLst>
        </xdr:cNvPr>
        <xdr:cNvCxnSpPr>
          <a:stCxn id="3" idx="3"/>
          <a:endCxn id="7" idx="0"/>
        </xdr:cNvCxnSpPr>
      </xdr:nvCxnSpPr>
      <xdr:spPr>
        <a:xfrm>
          <a:off x="6235700" y="3390900"/>
          <a:ext cx="3898900" cy="571500"/>
        </a:xfrm>
        <a:prstGeom prst="bentConnector2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560917</xdr:colOff>
      <xdr:row>23</xdr:row>
      <xdr:rowOff>9877</xdr:rowOff>
    </xdr:from>
    <xdr:to>
      <xdr:col>7</xdr:col>
      <xdr:colOff>566560</xdr:colOff>
      <xdr:row>29</xdr:row>
      <xdr:rowOff>105833</xdr:rowOff>
    </xdr:to>
    <xdr:cxnSp macro="">
      <xdr:nvCxnSpPr>
        <xdr:cNvPr id="55" name="Conector recto 54">
          <a:extLst>
            <a:ext uri="{FF2B5EF4-FFF2-40B4-BE49-F238E27FC236}">
              <a16:creationId xmlns:a16="http://schemas.microsoft.com/office/drawing/2014/main" id="{BA13574D-5341-7941-964C-3E62EC24E997}"/>
            </a:ext>
          </a:extLst>
        </xdr:cNvPr>
        <xdr:cNvCxnSpPr/>
      </xdr:nvCxnSpPr>
      <xdr:spPr>
        <a:xfrm flipH="1">
          <a:off x="6339417" y="4391377"/>
          <a:ext cx="5643" cy="1238956"/>
        </a:xfrm>
        <a:prstGeom prst="line">
          <a:avLst/>
        </a:prstGeom>
        <a:ln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131233</xdr:colOff>
      <xdr:row>23</xdr:row>
      <xdr:rowOff>3527</xdr:rowOff>
    </xdr:from>
    <xdr:to>
      <xdr:col>11</xdr:col>
      <xdr:colOff>136876</xdr:colOff>
      <xdr:row>29</xdr:row>
      <xdr:rowOff>99483</xdr:rowOff>
    </xdr:to>
    <xdr:cxnSp macro="">
      <xdr:nvCxnSpPr>
        <xdr:cNvPr id="57" name="Conector recto 56">
          <a:extLst>
            <a:ext uri="{FF2B5EF4-FFF2-40B4-BE49-F238E27FC236}">
              <a16:creationId xmlns:a16="http://schemas.microsoft.com/office/drawing/2014/main" id="{82DF1623-19C9-944A-B6D1-7AAE6BC08791}"/>
            </a:ext>
          </a:extLst>
        </xdr:cNvPr>
        <xdr:cNvCxnSpPr/>
      </xdr:nvCxnSpPr>
      <xdr:spPr>
        <a:xfrm flipH="1">
          <a:off x="9211733" y="4385027"/>
          <a:ext cx="5643" cy="1238956"/>
        </a:xfrm>
        <a:prstGeom prst="line">
          <a:avLst/>
        </a:prstGeom>
        <a:ln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563921</xdr:colOff>
      <xdr:row>29</xdr:row>
      <xdr:rowOff>104481</xdr:rowOff>
    </xdr:from>
    <xdr:to>
      <xdr:col>7</xdr:col>
      <xdr:colOff>718135</xdr:colOff>
      <xdr:row>29</xdr:row>
      <xdr:rowOff>104481</xdr:rowOff>
    </xdr:to>
    <xdr:cxnSp macro="">
      <xdr:nvCxnSpPr>
        <xdr:cNvPr id="58" name="Conector recto 57">
          <a:extLst>
            <a:ext uri="{FF2B5EF4-FFF2-40B4-BE49-F238E27FC236}">
              <a16:creationId xmlns:a16="http://schemas.microsoft.com/office/drawing/2014/main" id="{4D7D1BFE-73F0-6E4E-A037-E08530C61747}"/>
            </a:ext>
          </a:extLst>
        </xdr:cNvPr>
        <xdr:cNvCxnSpPr/>
      </xdr:nvCxnSpPr>
      <xdr:spPr>
        <a:xfrm>
          <a:off x="6368568" y="5737305"/>
          <a:ext cx="154214" cy="0"/>
        </a:xfrm>
        <a:prstGeom prst="line">
          <a:avLst/>
        </a:prstGeom>
        <a:ln w="127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566909</xdr:colOff>
      <xdr:row>25</xdr:row>
      <xdr:rowOff>55176</xdr:rowOff>
    </xdr:from>
    <xdr:to>
      <xdr:col>7</xdr:col>
      <xdr:colOff>721123</xdr:colOff>
      <xdr:row>25</xdr:row>
      <xdr:rowOff>55176</xdr:rowOff>
    </xdr:to>
    <xdr:cxnSp macro="">
      <xdr:nvCxnSpPr>
        <xdr:cNvPr id="59" name="Conector recto 58">
          <a:extLst>
            <a:ext uri="{FF2B5EF4-FFF2-40B4-BE49-F238E27FC236}">
              <a16:creationId xmlns:a16="http://schemas.microsoft.com/office/drawing/2014/main" id="{367D3FC2-45EB-8243-A3AC-E133B1295668}"/>
            </a:ext>
          </a:extLst>
        </xdr:cNvPr>
        <xdr:cNvCxnSpPr/>
      </xdr:nvCxnSpPr>
      <xdr:spPr>
        <a:xfrm>
          <a:off x="6371556" y="4911058"/>
          <a:ext cx="154214" cy="0"/>
        </a:xfrm>
        <a:prstGeom prst="line">
          <a:avLst/>
        </a:prstGeom>
        <a:ln w="127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133616</xdr:colOff>
      <xdr:row>29</xdr:row>
      <xdr:rowOff>99999</xdr:rowOff>
    </xdr:from>
    <xdr:to>
      <xdr:col>11</xdr:col>
      <xdr:colOff>287830</xdr:colOff>
      <xdr:row>29</xdr:row>
      <xdr:rowOff>99999</xdr:rowOff>
    </xdr:to>
    <xdr:cxnSp macro="">
      <xdr:nvCxnSpPr>
        <xdr:cNvPr id="60" name="Conector recto 59">
          <a:extLst>
            <a:ext uri="{FF2B5EF4-FFF2-40B4-BE49-F238E27FC236}">
              <a16:creationId xmlns:a16="http://schemas.microsoft.com/office/drawing/2014/main" id="{E6A99111-B63F-B54F-AFCB-388129B55821}"/>
            </a:ext>
          </a:extLst>
        </xdr:cNvPr>
        <xdr:cNvCxnSpPr/>
      </xdr:nvCxnSpPr>
      <xdr:spPr>
        <a:xfrm>
          <a:off x="9255204" y="5732823"/>
          <a:ext cx="154214" cy="0"/>
        </a:xfrm>
        <a:prstGeom prst="line">
          <a:avLst/>
        </a:prstGeom>
        <a:ln w="127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136604</xdr:colOff>
      <xdr:row>25</xdr:row>
      <xdr:rowOff>5870</xdr:rowOff>
    </xdr:from>
    <xdr:to>
      <xdr:col>11</xdr:col>
      <xdr:colOff>290818</xdr:colOff>
      <xdr:row>25</xdr:row>
      <xdr:rowOff>5870</xdr:rowOff>
    </xdr:to>
    <xdr:cxnSp macro="">
      <xdr:nvCxnSpPr>
        <xdr:cNvPr id="61" name="Conector recto 60">
          <a:extLst>
            <a:ext uri="{FF2B5EF4-FFF2-40B4-BE49-F238E27FC236}">
              <a16:creationId xmlns:a16="http://schemas.microsoft.com/office/drawing/2014/main" id="{20F32E89-B586-1A49-8481-0D10AF384CD7}"/>
            </a:ext>
          </a:extLst>
        </xdr:cNvPr>
        <xdr:cNvCxnSpPr/>
      </xdr:nvCxnSpPr>
      <xdr:spPr>
        <a:xfrm>
          <a:off x="9258192" y="4861752"/>
          <a:ext cx="154214" cy="0"/>
        </a:xfrm>
        <a:prstGeom prst="line">
          <a:avLst/>
        </a:prstGeom>
        <a:ln w="127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150090</xdr:colOff>
      <xdr:row>1</xdr:row>
      <xdr:rowOff>227060</xdr:rowOff>
    </xdr:from>
    <xdr:to>
      <xdr:col>4</xdr:col>
      <xdr:colOff>1471668</xdr:colOff>
      <xdr:row>4</xdr:row>
      <xdr:rowOff>97919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5C43016-A664-1A40-A844-FDB7FD6CA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290" y="417560"/>
          <a:ext cx="2045478" cy="53125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103374</xdr:colOff>
      <xdr:row>1</xdr:row>
      <xdr:rowOff>373798</xdr:rowOff>
    </xdr:from>
    <xdr:to>
      <xdr:col>2</xdr:col>
      <xdr:colOff>1172730</xdr:colOff>
      <xdr:row>1</xdr:row>
      <xdr:rowOff>771943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EF83B9-814B-024C-B79A-8D33D8663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474" y="564298"/>
          <a:ext cx="1755156" cy="398145"/>
        </a:xfrm>
        <a:prstGeom prst="rect">
          <a:avLst/>
        </a:prstGeom>
      </xdr:spPr>
    </xdr:pic>
    <xdr:clientData/>
  </xdr:twoCellAnchor>
  <xdr:twoCellAnchor editAs="oneCell">
    <xdr:from>
      <xdr:col>2</xdr:col>
      <xdr:colOff>1648288</xdr:colOff>
      <xdr:row>1</xdr:row>
      <xdr:rowOff>390732</xdr:rowOff>
    </xdr:from>
    <xdr:to>
      <xdr:col>4</xdr:col>
      <xdr:colOff>88603</xdr:colOff>
      <xdr:row>1</xdr:row>
      <xdr:rowOff>755222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E46277-85E9-464D-89DE-635524445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26188" y="581232"/>
          <a:ext cx="1793115" cy="364490"/>
        </a:xfrm>
        <a:prstGeom prst="rect">
          <a:avLst/>
        </a:prstGeom>
      </xdr:spPr>
    </xdr:pic>
    <xdr:clientData/>
  </xdr:twoCellAnchor>
  <xdr:twoCellAnchor>
    <xdr:from>
      <xdr:col>2</xdr:col>
      <xdr:colOff>1556134</xdr:colOff>
      <xdr:row>1</xdr:row>
      <xdr:rowOff>177209</xdr:rowOff>
    </xdr:from>
    <xdr:to>
      <xdr:col>2</xdr:col>
      <xdr:colOff>1556134</xdr:colOff>
      <xdr:row>1</xdr:row>
      <xdr:rowOff>973499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EE13C2A1-8BA2-9442-B26E-F6EC3F01A412}"/>
            </a:ext>
          </a:extLst>
        </xdr:cNvPr>
        <xdr:cNvCxnSpPr/>
      </xdr:nvCxnSpPr>
      <xdr:spPr>
        <a:xfrm>
          <a:off x="2534034" y="367709"/>
          <a:ext cx="0" cy="796290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10.%20Direccion/MG%20Calendario%20de%20Reuniones%202021%20V2.xlsx" TargetMode="External"/><Relationship Id="rId2" Type="http://schemas.openxmlformats.org/officeDocument/2006/relationships/externalLinkPath" Target="https://eqsolutionsec-my.sharepoint.com/personal/fscavone_eqsoluciones_com/Documents/10.%20Direccion/MG%20Calendario%20de%20Reuniones%202021%20V2.xlsx" TargetMode="External"/><Relationship Id="rId1" Type="http://schemas.openxmlformats.org/officeDocument/2006/relationships/externalLinkPath" Target="/personal/fscavone_eqsoluciones_com/Documents/10.%20Direccion/MG%20Calendario%20de%20Reuniones%202021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pleto"/>
      <sheetName val="Mensual"/>
      <sheetName val="Calendario Gerencia"/>
      <sheetName val="Resumen Gerencia "/>
    </sheetNames>
    <sheetDataSet>
      <sheetData sheetId="0">
        <row r="1">
          <cell r="B1">
            <v>44197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2877-75FD-4598-97CF-B14C5A7C5A95}">
  <dimension ref="B1:L12"/>
  <sheetViews>
    <sheetView showGridLines="0" zoomScale="66" zoomScaleNormal="86" workbookViewId="0">
      <selection activeCell="J7" sqref="J7"/>
    </sheetView>
  </sheetViews>
  <sheetFormatPr baseColWidth="10" defaultColWidth="10.81640625" defaultRowHeight="14" x14ac:dyDescent="0.3"/>
  <cols>
    <col min="1" max="1" width="3.81640625" style="1" customWidth="1"/>
    <col min="2" max="2" width="12.81640625" style="1" customWidth="1"/>
    <col min="3" max="3" width="38" style="1" customWidth="1"/>
    <col min="4" max="4" width="39.6328125" style="1" customWidth="1"/>
    <col min="5" max="5" width="24" style="1" customWidth="1"/>
    <col min="6" max="6" width="17.453125" style="1" customWidth="1"/>
    <col min="7" max="7" width="18.1796875" style="1" customWidth="1"/>
    <col min="8" max="8" width="15.81640625" style="1" bestFit="1" customWidth="1"/>
    <col min="9" max="9" width="10.81640625" style="19" customWidth="1"/>
    <col min="10" max="10" width="11.6328125" style="1" customWidth="1"/>
    <col min="11" max="11" width="17" style="1" customWidth="1"/>
    <col min="12" max="12" width="26.1796875" style="1" customWidth="1"/>
    <col min="13" max="16384" width="10.81640625" style="1"/>
  </cols>
  <sheetData>
    <row r="1" spans="2:12" s="13" customFormat="1" x14ac:dyDescent="0.3">
      <c r="I1" s="17"/>
    </row>
    <row r="2" spans="2:12" s="13" customFormat="1" ht="99" customHeight="1" x14ac:dyDescent="0.3">
      <c r="B2" s="308" t="s">
        <v>33</v>
      </c>
      <c r="C2" s="308"/>
      <c r="D2" s="308"/>
      <c r="E2" s="308"/>
      <c r="F2" s="308"/>
      <c r="G2" s="308"/>
      <c r="H2" s="308"/>
      <c r="I2" s="308"/>
      <c r="J2" s="308"/>
      <c r="K2" s="308"/>
      <c r="L2" s="308"/>
    </row>
    <row r="3" spans="2:12" s="13" customFormat="1" ht="10" customHeight="1" x14ac:dyDescent="0.3">
      <c r="I3" s="17"/>
    </row>
    <row r="4" spans="2:12" ht="47" customHeight="1" x14ac:dyDescent="0.3">
      <c r="B4" s="2" t="s">
        <v>0</v>
      </c>
      <c r="C4" s="3" t="s">
        <v>9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4" t="s">
        <v>12</v>
      </c>
      <c r="J4" s="4" t="s">
        <v>6</v>
      </c>
      <c r="K4" s="4" t="s">
        <v>7</v>
      </c>
      <c r="L4" s="4" t="s">
        <v>8</v>
      </c>
    </row>
    <row r="5" spans="2:12" ht="56" x14ac:dyDescent="0.3">
      <c r="B5" s="14">
        <v>1</v>
      </c>
      <c r="C5" s="5" t="s">
        <v>35</v>
      </c>
      <c r="D5" s="5" t="s">
        <v>34</v>
      </c>
      <c r="E5" s="5" t="s">
        <v>10</v>
      </c>
      <c r="F5" s="20" t="s">
        <v>37</v>
      </c>
      <c r="G5" s="15">
        <v>45776</v>
      </c>
      <c r="H5" s="7">
        <v>0.5</v>
      </c>
      <c r="I5" s="7" t="s">
        <v>11</v>
      </c>
      <c r="J5" s="5" t="s">
        <v>32</v>
      </c>
      <c r="K5" s="28" t="s">
        <v>39</v>
      </c>
      <c r="L5" s="8"/>
    </row>
    <row r="6" spans="2:12" ht="66" customHeight="1" x14ac:dyDescent="0.3">
      <c r="B6" s="14">
        <v>2</v>
      </c>
      <c r="C6" s="5" t="s">
        <v>38</v>
      </c>
      <c r="D6" s="5" t="s">
        <v>36</v>
      </c>
      <c r="E6" s="5" t="s">
        <v>10</v>
      </c>
      <c r="F6" s="20" t="s">
        <v>37</v>
      </c>
      <c r="G6" s="15">
        <v>45776</v>
      </c>
      <c r="H6" s="16">
        <v>0.5</v>
      </c>
      <c r="I6" s="7" t="s">
        <v>11</v>
      </c>
      <c r="J6" s="5" t="s">
        <v>32</v>
      </c>
      <c r="K6" s="28" t="s">
        <v>39</v>
      </c>
      <c r="L6" s="8"/>
    </row>
    <row r="7" spans="2:12" x14ac:dyDescent="0.3">
      <c r="B7" s="14">
        <v>3</v>
      </c>
      <c r="C7" s="5"/>
      <c r="D7" s="5"/>
      <c r="E7" s="5"/>
      <c r="F7" s="20"/>
      <c r="G7" s="7"/>
      <c r="H7" s="5"/>
      <c r="I7" s="7"/>
      <c r="J7" s="5"/>
      <c r="K7" s="25"/>
      <c r="L7" s="8"/>
    </row>
    <row r="8" spans="2:12" x14ac:dyDescent="0.3">
      <c r="B8" s="14">
        <f>+B7+1</f>
        <v>4</v>
      </c>
      <c r="C8" s="5"/>
      <c r="D8" s="5"/>
      <c r="E8" s="5"/>
      <c r="F8" s="6"/>
      <c r="G8" s="7"/>
      <c r="H8" s="5"/>
      <c r="I8" s="7"/>
      <c r="J8" s="5"/>
      <c r="K8" s="25"/>
      <c r="L8" s="8"/>
    </row>
    <row r="9" spans="2:12" x14ac:dyDescent="0.3">
      <c r="B9" s="14">
        <f>+B8+1</f>
        <v>5</v>
      </c>
      <c r="C9" s="5"/>
      <c r="D9" s="5"/>
      <c r="E9" s="5"/>
      <c r="F9" s="6"/>
      <c r="G9" s="7"/>
      <c r="H9" s="5"/>
      <c r="I9" s="7"/>
      <c r="J9" s="5"/>
      <c r="K9" s="25"/>
      <c r="L9" s="8"/>
    </row>
    <row r="10" spans="2:12" x14ac:dyDescent="0.3">
      <c r="B10" s="14">
        <f>+B9+1</f>
        <v>6</v>
      </c>
      <c r="C10" s="5"/>
      <c r="D10" s="5"/>
      <c r="E10" s="5"/>
      <c r="F10" s="6"/>
      <c r="G10" s="7"/>
      <c r="H10" s="5"/>
      <c r="I10" s="7"/>
      <c r="J10" s="5"/>
      <c r="K10" s="25"/>
      <c r="L10" s="8"/>
    </row>
    <row r="11" spans="2:12" x14ac:dyDescent="0.3">
      <c r="B11" s="14">
        <f>+B10+1</f>
        <v>7</v>
      </c>
      <c r="C11" s="5"/>
      <c r="D11" s="5"/>
      <c r="E11" s="5"/>
      <c r="F11" s="6"/>
      <c r="G11" s="7"/>
      <c r="H11" s="5"/>
      <c r="I11" s="7"/>
      <c r="J11" s="5"/>
      <c r="K11" s="25"/>
      <c r="L11" s="8"/>
    </row>
    <row r="12" spans="2:12" ht="14.5" thickBot="1" x14ac:dyDescent="0.35">
      <c r="B12" s="14">
        <f>+B11+1</f>
        <v>8</v>
      </c>
      <c r="C12" s="9"/>
      <c r="D12" s="9"/>
      <c r="E12" s="9"/>
      <c r="F12" s="10"/>
      <c r="G12" s="11"/>
      <c r="H12" s="9"/>
      <c r="I12" s="18"/>
      <c r="J12" s="9"/>
      <c r="K12" s="26"/>
      <c r="L12" s="12"/>
    </row>
  </sheetData>
  <mergeCells count="1">
    <mergeCell ref="B2:L2"/>
  </mergeCells>
  <pageMargins left="0.15748031496062992" right="0.15748031496062992" top="0.74803149606299213" bottom="0.74803149606299213" header="0.31496062992125984" footer="0.31496062992125984"/>
  <pageSetup paperSize="9" scale="45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911E5-DFDA-8949-A121-D2DE9EC379C6}">
  <dimension ref="B1:DO191"/>
  <sheetViews>
    <sheetView showGridLines="0" zoomScale="75" zoomScaleNormal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1" sqref="C20:C31"/>
    </sheetView>
  </sheetViews>
  <sheetFormatPr baseColWidth="10" defaultColWidth="10.81640625" defaultRowHeight="14" x14ac:dyDescent="0.3"/>
  <cols>
    <col min="1" max="1" width="3.81640625" style="1" customWidth="1"/>
    <col min="2" max="2" width="9" style="49" customWidth="1"/>
    <col min="3" max="3" width="43" style="1" customWidth="1"/>
    <col min="4" max="4" width="1" style="1" customWidth="1"/>
    <col min="5" max="5" width="7.453125" style="1" customWidth="1"/>
    <col min="6" max="6" width="1" style="1" customWidth="1"/>
    <col min="7" max="7" width="5.1796875" style="1" hidden="1" customWidth="1"/>
    <col min="8" max="8" width="5.1796875" style="19" hidden="1" customWidth="1"/>
    <col min="9" max="21" width="5.1796875" style="1" hidden="1" customWidth="1"/>
    <col min="22" max="22" width="8.81640625" style="1" customWidth="1"/>
    <col min="23" max="23" width="1" style="1" customWidth="1"/>
    <col min="24" max="24" width="10.1796875" style="1" customWidth="1"/>
    <col min="25" max="25" width="1" style="1" customWidth="1"/>
    <col min="26" max="26" width="10.1796875" style="1" customWidth="1"/>
    <col min="27" max="27" width="1" style="1" customWidth="1"/>
    <col min="28" max="28" width="13.453125" style="1" bestFit="1" customWidth="1"/>
    <col min="29" max="29" width="1" style="1" customWidth="1"/>
    <col min="30" max="30" width="13.453125" style="1" bestFit="1" customWidth="1"/>
    <col min="31" max="31" width="1" style="1" customWidth="1"/>
    <col min="32" max="119" width="6.81640625" style="1" customWidth="1"/>
    <col min="120" max="16384" width="10.81640625" style="1"/>
  </cols>
  <sheetData>
    <row r="1" spans="2:119" s="13" customFormat="1" x14ac:dyDescent="0.3">
      <c r="B1" s="43"/>
      <c r="H1" s="17"/>
    </row>
    <row r="2" spans="2:119" s="13" customFormat="1" ht="99" customHeight="1" x14ac:dyDescent="0.3">
      <c r="B2" s="308" t="s">
        <v>40</v>
      </c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8"/>
      <c r="AO2" s="308"/>
      <c r="AP2" s="308"/>
      <c r="AQ2" s="308"/>
      <c r="AR2" s="308"/>
      <c r="AS2" s="308"/>
      <c r="AT2" s="308"/>
      <c r="AU2" s="308"/>
      <c r="AV2" s="308"/>
      <c r="AW2" s="308"/>
      <c r="AX2" s="308"/>
      <c r="AY2" s="308"/>
      <c r="AZ2" s="308"/>
      <c r="BA2" s="308"/>
      <c r="BB2" s="308"/>
      <c r="BC2" s="308"/>
      <c r="BD2" s="308"/>
      <c r="BE2" s="308"/>
      <c r="BF2" s="308"/>
      <c r="BG2" s="308"/>
      <c r="BH2" s="308"/>
      <c r="BI2" s="308"/>
      <c r="BJ2" s="308"/>
      <c r="BK2" s="308"/>
      <c r="BL2" s="308"/>
      <c r="BM2" s="308"/>
      <c r="BN2" s="308"/>
      <c r="BO2" s="308"/>
      <c r="BP2" s="308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</row>
    <row r="3" spans="2:119" s="30" customFormat="1" ht="10" customHeight="1" x14ac:dyDescent="0.3">
      <c r="B3" s="44"/>
      <c r="H3" s="31"/>
      <c r="AF3" s="32">
        <v>45782</v>
      </c>
      <c r="AG3" s="32">
        <v>45783</v>
      </c>
      <c r="AH3" s="32">
        <v>45784</v>
      </c>
      <c r="AI3" s="32">
        <v>45785</v>
      </c>
      <c r="AJ3" s="32">
        <v>45786</v>
      </c>
      <c r="AK3" s="32">
        <v>45787</v>
      </c>
      <c r="AL3" s="32">
        <v>45788</v>
      </c>
      <c r="AM3" s="32">
        <v>45789</v>
      </c>
      <c r="AN3" s="32">
        <v>45790</v>
      </c>
      <c r="AO3" s="32">
        <v>45791</v>
      </c>
      <c r="AP3" s="32">
        <v>45792</v>
      </c>
      <c r="AQ3" s="32">
        <v>45793</v>
      </c>
      <c r="AR3" s="32">
        <v>45794</v>
      </c>
      <c r="AS3" s="32">
        <v>45795</v>
      </c>
      <c r="AT3" s="32">
        <v>45796</v>
      </c>
      <c r="AU3" s="32">
        <v>45797</v>
      </c>
      <c r="AV3" s="32">
        <v>45798</v>
      </c>
      <c r="AW3" s="32">
        <v>45799</v>
      </c>
      <c r="AX3" s="32">
        <v>45800</v>
      </c>
      <c r="AY3" s="32">
        <v>45801</v>
      </c>
      <c r="AZ3" s="32">
        <v>45802</v>
      </c>
      <c r="BA3" s="32">
        <v>45803</v>
      </c>
      <c r="BB3" s="32">
        <v>45804</v>
      </c>
      <c r="BC3" s="32">
        <v>45805</v>
      </c>
      <c r="BD3" s="32">
        <v>45806</v>
      </c>
      <c r="BE3" s="32">
        <v>45807</v>
      </c>
      <c r="BF3" s="32">
        <v>45808</v>
      </c>
      <c r="BG3" s="32">
        <v>45809</v>
      </c>
      <c r="BH3" s="32">
        <v>45810</v>
      </c>
      <c r="BI3" s="32">
        <v>45811</v>
      </c>
      <c r="BJ3" s="32">
        <v>45812</v>
      </c>
      <c r="BK3" s="32">
        <v>45813</v>
      </c>
      <c r="BL3" s="32">
        <v>45814</v>
      </c>
      <c r="BM3" s="32">
        <v>45815</v>
      </c>
      <c r="BN3" s="32">
        <v>45816</v>
      </c>
      <c r="BO3" s="32">
        <v>45817</v>
      </c>
      <c r="BP3" s="32">
        <v>45818</v>
      </c>
      <c r="BQ3" s="32">
        <v>45819</v>
      </c>
      <c r="BR3" s="32">
        <v>45820</v>
      </c>
      <c r="BS3" s="32">
        <v>45821</v>
      </c>
      <c r="BT3" s="32">
        <v>45822</v>
      </c>
      <c r="BU3" s="32">
        <v>45823</v>
      </c>
      <c r="BV3" s="32">
        <v>45824</v>
      </c>
      <c r="BW3" s="32">
        <v>45825</v>
      </c>
      <c r="BX3" s="32">
        <v>45826</v>
      </c>
      <c r="BY3" s="32">
        <v>45827</v>
      </c>
      <c r="BZ3" s="32">
        <v>45828</v>
      </c>
      <c r="CA3" s="32">
        <v>45829</v>
      </c>
      <c r="CB3" s="32">
        <v>45830</v>
      </c>
      <c r="CC3" s="32">
        <v>45831</v>
      </c>
      <c r="CD3" s="32">
        <v>45832</v>
      </c>
      <c r="CE3" s="32">
        <v>45833</v>
      </c>
      <c r="CF3" s="32">
        <v>45834</v>
      </c>
      <c r="CG3" s="32">
        <v>45835</v>
      </c>
      <c r="CH3" s="32">
        <v>45836</v>
      </c>
      <c r="CI3" s="32">
        <v>45837</v>
      </c>
      <c r="CJ3" s="32">
        <v>45838</v>
      </c>
      <c r="CK3" s="32">
        <v>45839</v>
      </c>
      <c r="CL3" s="32">
        <v>45840</v>
      </c>
      <c r="CM3" s="32">
        <v>45841</v>
      </c>
      <c r="CN3" s="32">
        <v>45842</v>
      </c>
      <c r="CO3" s="32">
        <v>45843</v>
      </c>
      <c r="CP3" s="32">
        <v>45844</v>
      </c>
      <c r="CQ3" s="32">
        <v>45845</v>
      </c>
      <c r="CR3" s="32">
        <v>45846</v>
      </c>
      <c r="CS3" s="32">
        <v>45847</v>
      </c>
      <c r="CT3" s="32">
        <v>45848</v>
      </c>
      <c r="CU3" s="32">
        <v>45849</v>
      </c>
      <c r="CV3" s="32">
        <v>45850</v>
      </c>
      <c r="CW3" s="32">
        <v>45851</v>
      </c>
      <c r="CX3" s="32">
        <v>45852</v>
      </c>
      <c r="CY3" s="32">
        <v>45853</v>
      </c>
      <c r="CZ3" s="32">
        <v>45854</v>
      </c>
      <c r="DA3" s="32">
        <v>45855</v>
      </c>
      <c r="DB3" s="32">
        <v>45856</v>
      </c>
      <c r="DC3" s="32">
        <v>45857</v>
      </c>
      <c r="DD3" s="32">
        <v>45858</v>
      </c>
      <c r="DE3" s="32">
        <v>45859</v>
      </c>
      <c r="DF3" s="32">
        <v>45860</v>
      </c>
      <c r="DG3" s="32">
        <v>45861</v>
      </c>
      <c r="DH3" s="32">
        <v>45862</v>
      </c>
      <c r="DI3" s="32">
        <v>45863</v>
      </c>
      <c r="DJ3" s="32">
        <v>45864</v>
      </c>
      <c r="DK3" s="32">
        <v>45865</v>
      </c>
      <c r="DL3" s="32">
        <v>45866</v>
      </c>
      <c r="DM3" s="32">
        <v>45867</v>
      </c>
      <c r="DN3" s="32">
        <v>45868</v>
      </c>
      <c r="DO3" s="32">
        <v>45869</v>
      </c>
    </row>
    <row r="4" spans="2:119" ht="47" customHeight="1" x14ac:dyDescent="0.3">
      <c r="B4" s="45" t="s">
        <v>41</v>
      </c>
      <c r="C4" s="3" t="s">
        <v>42</v>
      </c>
      <c r="E4" s="3" t="s">
        <v>28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 t="s">
        <v>22</v>
      </c>
      <c r="Q4" s="3" t="s">
        <v>23</v>
      </c>
      <c r="R4" s="3" t="s">
        <v>24</v>
      </c>
      <c r="S4" s="3" t="s">
        <v>25</v>
      </c>
      <c r="T4" s="3" t="s">
        <v>26</v>
      </c>
      <c r="U4" s="3" t="s">
        <v>27</v>
      </c>
      <c r="V4" s="3" t="s">
        <v>43</v>
      </c>
      <c r="X4" s="3" t="s">
        <v>44</v>
      </c>
      <c r="Z4" s="3" t="s">
        <v>45</v>
      </c>
      <c r="AB4" s="3" t="s">
        <v>46</v>
      </c>
      <c r="AD4" s="3" t="s">
        <v>298</v>
      </c>
      <c r="AF4" s="29">
        <v>45782</v>
      </c>
      <c r="AG4" s="29">
        <v>45783</v>
      </c>
      <c r="AH4" s="29">
        <v>45784</v>
      </c>
      <c r="AI4" s="29">
        <v>45785</v>
      </c>
      <c r="AJ4" s="29">
        <v>45786</v>
      </c>
      <c r="AK4" s="29">
        <v>45787</v>
      </c>
      <c r="AL4" s="29">
        <v>45788</v>
      </c>
      <c r="AM4" s="29">
        <v>45789</v>
      </c>
      <c r="AN4" s="29">
        <v>45790</v>
      </c>
      <c r="AO4" s="29">
        <v>45791</v>
      </c>
      <c r="AP4" s="29">
        <v>45792</v>
      </c>
      <c r="AQ4" s="29">
        <v>45793</v>
      </c>
      <c r="AR4" s="29">
        <v>45794</v>
      </c>
      <c r="AS4" s="29">
        <v>45795</v>
      </c>
      <c r="AT4" s="29">
        <v>45796</v>
      </c>
      <c r="AU4" s="29">
        <v>45797</v>
      </c>
      <c r="AV4" s="29">
        <v>45798</v>
      </c>
      <c r="AW4" s="29">
        <v>45799</v>
      </c>
      <c r="AX4" s="29">
        <v>45800</v>
      </c>
      <c r="AY4" s="29">
        <v>45801</v>
      </c>
      <c r="AZ4" s="29">
        <v>45802</v>
      </c>
      <c r="BA4" s="29">
        <v>45803</v>
      </c>
      <c r="BB4" s="29">
        <v>45804</v>
      </c>
      <c r="BC4" s="29">
        <v>45805</v>
      </c>
      <c r="BD4" s="29">
        <v>45806</v>
      </c>
      <c r="BE4" s="29">
        <v>45807</v>
      </c>
      <c r="BF4" s="29">
        <v>45808</v>
      </c>
      <c r="BG4" s="29">
        <v>45809</v>
      </c>
      <c r="BH4" s="29">
        <v>45810</v>
      </c>
      <c r="BI4" s="29">
        <v>45811</v>
      </c>
      <c r="BJ4" s="29">
        <v>45812</v>
      </c>
      <c r="BK4" s="29">
        <v>45813</v>
      </c>
      <c r="BL4" s="29">
        <v>45814</v>
      </c>
      <c r="BM4" s="29">
        <v>45815</v>
      </c>
      <c r="BN4" s="29">
        <v>45816</v>
      </c>
      <c r="BO4" s="29">
        <v>45817</v>
      </c>
      <c r="BP4" s="29">
        <v>45818</v>
      </c>
      <c r="BQ4" s="29">
        <v>45819</v>
      </c>
      <c r="BR4" s="29">
        <v>45820</v>
      </c>
      <c r="BS4" s="29">
        <v>45821</v>
      </c>
      <c r="BT4" s="29">
        <v>45822</v>
      </c>
      <c r="BU4" s="29">
        <v>45823</v>
      </c>
      <c r="BV4" s="29">
        <v>45824</v>
      </c>
      <c r="BW4" s="29">
        <v>45825</v>
      </c>
      <c r="BX4" s="29">
        <v>45826</v>
      </c>
      <c r="BY4" s="29">
        <v>45827</v>
      </c>
      <c r="BZ4" s="29">
        <v>45828</v>
      </c>
      <c r="CA4" s="29">
        <v>45829</v>
      </c>
      <c r="CB4" s="29">
        <v>45830</v>
      </c>
      <c r="CC4" s="29">
        <v>45831</v>
      </c>
      <c r="CD4" s="29">
        <v>45832</v>
      </c>
      <c r="CE4" s="29">
        <v>45833</v>
      </c>
      <c r="CF4" s="29">
        <v>45834</v>
      </c>
      <c r="CG4" s="29">
        <v>45835</v>
      </c>
      <c r="CH4" s="29">
        <v>45836</v>
      </c>
      <c r="CI4" s="29">
        <v>45837</v>
      </c>
      <c r="CJ4" s="29">
        <v>45838</v>
      </c>
      <c r="CK4" s="29">
        <v>45839</v>
      </c>
      <c r="CL4" s="29">
        <v>45840</v>
      </c>
      <c r="CM4" s="29">
        <v>45841</v>
      </c>
      <c r="CN4" s="29">
        <v>45842</v>
      </c>
      <c r="CO4" s="29">
        <v>45843</v>
      </c>
      <c r="CP4" s="29">
        <v>45844</v>
      </c>
      <c r="CQ4" s="29">
        <v>45845</v>
      </c>
      <c r="CR4" s="29">
        <v>45846</v>
      </c>
      <c r="CS4" s="29">
        <v>45847</v>
      </c>
      <c r="CT4" s="29">
        <v>45848</v>
      </c>
      <c r="CU4" s="29">
        <v>45849</v>
      </c>
      <c r="CV4" s="29">
        <v>45850</v>
      </c>
      <c r="CW4" s="29">
        <v>45851</v>
      </c>
      <c r="CX4" s="29">
        <v>45852</v>
      </c>
      <c r="CY4" s="29">
        <v>45853</v>
      </c>
      <c r="CZ4" s="29">
        <v>45854</v>
      </c>
      <c r="DA4" s="29">
        <v>45855</v>
      </c>
      <c r="DB4" s="29">
        <v>45856</v>
      </c>
      <c r="DC4" s="29">
        <v>45857</v>
      </c>
      <c r="DD4" s="29">
        <v>45858</v>
      </c>
      <c r="DE4" s="29">
        <v>45859</v>
      </c>
      <c r="DF4" s="29">
        <v>45860</v>
      </c>
      <c r="DG4" s="29">
        <v>45861</v>
      </c>
      <c r="DH4" s="29">
        <v>45862</v>
      </c>
      <c r="DI4" s="29">
        <v>45863</v>
      </c>
      <c r="DJ4" s="29">
        <v>45864</v>
      </c>
      <c r="DK4" s="29">
        <v>45865</v>
      </c>
      <c r="DL4" s="29">
        <v>45866</v>
      </c>
      <c r="DM4" s="29">
        <v>45867</v>
      </c>
      <c r="DN4" s="29">
        <v>45868</v>
      </c>
      <c r="DO4" s="29">
        <v>45869</v>
      </c>
    </row>
    <row r="5" spans="2:119" ht="34" customHeight="1" x14ac:dyDescent="0.3">
      <c r="B5" s="46">
        <v>1</v>
      </c>
      <c r="C5" s="37" t="s">
        <v>47</v>
      </c>
      <c r="E5" s="21">
        <f>+WEEKNUM('Resumen Gral'!G5)</f>
        <v>18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21">
        <f>+WEEKNUM('Resumen Gral'!X5)</f>
        <v>0</v>
      </c>
      <c r="X5" s="33">
        <v>45782</v>
      </c>
      <c r="Z5" s="33">
        <v>45782</v>
      </c>
      <c r="AB5" s="35"/>
      <c r="AD5" s="35"/>
      <c r="AF5" s="7"/>
      <c r="AG5" s="5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</row>
    <row r="6" spans="2:119" ht="34" customHeight="1" x14ac:dyDescent="0.3">
      <c r="B6" s="46">
        <v>1.1000000000000001</v>
      </c>
      <c r="C6" s="38" t="s">
        <v>48</v>
      </c>
      <c r="E6" s="21">
        <f>+WEEKNUM('Resumen Gral'!G6)</f>
        <v>18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21">
        <f>+WEEKNUM('Resumen Gral'!X6)</f>
        <v>0</v>
      </c>
      <c r="X6" s="33"/>
      <c r="Z6" s="33"/>
      <c r="AB6" s="35"/>
      <c r="AD6" s="35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</row>
    <row r="7" spans="2:119" ht="34" customHeight="1" x14ac:dyDescent="0.3">
      <c r="B7" s="46" t="s">
        <v>49</v>
      </c>
      <c r="C7" s="37" t="s">
        <v>50</v>
      </c>
      <c r="E7" s="21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21"/>
      <c r="X7" s="33"/>
      <c r="Z7" s="33"/>
      <c r="AB7" s="35"/>
      <c r="AD7" s="3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</row>
    <row r="8" spans="2:119" ht="34" customHeight="1" x14ac:dyDescent="0.3">
      <c r="B8" s="47" t="s">
        <v>56</v>
      </c>
      <c r="C8" s="39" t="s">
        <v>51</v>
      </c>
      <c r="E8" s="7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7"/>
      <c r="X8" s="34"/>
      <c r="Z8" s="34"/>
      <c r="AB8" s="36"/>
      <c r="AD8" s="36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</row>
    <row r="9" spans="2:119" ht="34" customHeight="1" x14ac:dyDescent="0.3">
      <c r="B9" s="47" t="s">
        <v>57</v>
      </c>
      <c r="C9" s="40" t="s">
        <v>52</v>
      </c>
      <c r="E9" s="7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7"/>
      <c r="X9" s="34"/>
      <c r="Z9" s="34"/>
      <c r="AB9" s="36"/>
      <c r="AD9" s="36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</row>
    <row r="10" spans="2:119" ht="34" customHeight="1" x14ac:dyDescent="0.3">
      <c r="B10" s="47" t="s">
        <v>58</v>
      </c>
      <c r="C10" s="40" t="s">
        <v>53</v>
      </c>
      <c r="E10" s="7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7"/>
      <c r="X10" s="34"/>
      <c r="Z10" s="34"/>
      <c r="AB10" s="36"/>
      <c r="AD10" s="36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</row>
    <row r="11" spans="2:119" ht="34" customHeight="1" x14ac:dyDescent="0.3">
      <c r="B11" s="47" t="s">
        <v>59</v>
      </c>
      <c r="C11" s="40" t="s">
        <v>54</v>
      </c>
      <c r="E11" s="7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7"/>
      <c r="X11" s="34"/>
      <c r="Z11" s="34"/>
      <c r="AB11" s="36"/>
      <c r="AD11" s="36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</row>
    <row r="12" spans="2:119" ht="34" customHeight="1" thickBot="1" x14ac:dyDescent="0.35">
      <c r="B12" s="47" t="s">
        <v>60</v>
      </c>
      <c r="C12" s="41" t="s">
        <v>55</v>
      </c>
      <c r="E12" s="52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52"/>
      <c r="X12" s="53"/>
      <c r="Z12" s="53"/>
      <c r="AB12" s="51"/>
      <c r="AD12" s="51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</row>
    <row r="13" spans="2:119" ht="25" customHeight="1" x14ac:dyDescent="0.3">
      <c r="B13" s="47" t="s">
        <v>62</v>
      </c>
      <c r="C13" s="37" t="s">
        <v>61</v>
      </c>
      <c r="E13" s="39"/>
      <c r="V13" s="39"/>
      <c r="X13" s="39"/>
      <c r="Z13" s="39"/>
      <c r="AB13" s="39"/>
      <c r="AD13" s="39"/>
      <c r="AF13" s="7"/>
      <c r="AG13" s="5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</row>
    <row r="14" spans="2:119" ht="25" customHeight="1" x14ac:dyDescent="0.3">
      <c r="B14" s="47" t="s">
        <v>63</v>
      </c>
      <c r="C14" s="40" t="s">
        <v>51</v>
      </c>
      <c r="E14" s="39"/>
      <c r="V14" s="39"/>
      <c r="X14" s="39"/>
      <c r="Z14" s="39"/>
      <c r="AB14" s="39"/>
      <c r="AD14" s="39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</row>
    <row r="15" spans="2:119" ht="25" customHeight="1" x14ac:dyDescent="0.3">
      <c r="B15" s="47" t="s">
        <v>64</v>
      </c>
      <c r="C15" s="40" t="s">
        <v>68</v>
      </c>
      <c r="E15" s="39"/>
      <c r="V15" s="39"/>
      <c r="X15" s="39"/>
      <c r="Z15" s="39"/>
      <c r="AB15" s="39"/>
      <c r="AD15" s="39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</row>
    <row r="16" spans="2:119" ht="25" customHeight="1" x14ac:dyDescent="0.3">
      <c r="B16" s="47" t="s">
        <v>65</v>
      </c>
      <c r="C16" s="40" t="s">
        <v>69</v>
      </c>
      <c r="E16" s="39"/>
      <c r="V16" s="39"/>
      <c r="X16" s="39"/>
      <c r="Z16" s="39"/>
      <c r="AB16" s="39"/>
      <c r="AD16" s="39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</row>
    <row r="17" spans="2:119" ht="25" customHeight="1" x14ac:dyDescent="0.3">
      <c r="B17" s="47" t="s">
        <v>66</v>
      </c>
      <c r="C17" s="40" t="s">
        <v>70</v>
      </c>
      <c r="E17" s="39"/>
      <c r="V17" s="39"/>
      <c r="X17" s="39"/>
      <c r="Z17" s="39"/>
      <c r="AB17" s="39"/>
      <c r="AD17" s="39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</row>
    <row r="18" spans="2:119" ht="25" customHeight="1" x14ac:dyDescent="0.3">
      <c r="B18" s="47" t="s">
        <v>67</v>
      </c>
      <c r="C18" s="41" t="s">
        <v>71</v>
      </c>
      <c r="E18" s="39"/>
      <c r="V18" s="39"/>
      <c r="X18" s="39"/>
      <c r="Z18" s="39"/>
      <c r="AB18" s="39"/>
      <c r="AD18" s="39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</row>
    <row r="19" spans="2:119" ht="25" customHeight="1" x14ac:dyDescent="0.3">
      <c r="B19" s="48" t="s">
        <v>72</v>
      </c>
      <c r="C19" s="42" t="s">
        <v>73</v>
      </c>
      <c r="E19" s="39"/>
      <c r="V19" s="39"/>
      <c r="X19" s="39"/>
      <c r="Z19" s="39"/>
      <c r="AB19" s="39"/>
      <c r="AD19" s="39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</row>
    <row r="20" spans="2:119" ht="25" customHeight="1" x14ac:dyDescent="0.3">
      <c r="B20" s="47" t="s">
        <v>74</v>
      </c>
      <c r="C20" s="39" t="s">
        <v>75</v>
      </c>
      <c r="E20" s="39"/>
      <c r="V20" s="39"/>
      <c r="X20" s="39"/>
      <c r="Z20" s="39"/>
      <c r="AB20" s="39"/>
      <c r="AD20" s="39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</row>
    <row r="21" spans="2:119" ht="25" customHeight="1" x14ac:dyDescent="0.3">
      <c r="B21" s="47" t="s">
        <v>76</v>
      </c>
      <c r="C21" s="39" t="s">
        <v>77</v>
      </c>
      <c r="E21" s="39"/>
      <c r="V21" s="39"/>
      <c r="X21" s="39"/>
      <c r="Z21" s="39"/>
      <c r="AB21" s="39"/>
      <c r="AD21" s="39"/>
      <c r="AF21" s="7"/>
      <c r="AG21" s="5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</row>
    <row r="22" spans="2:119" ht="25" customHeight="1" x14ac:dyDescent="0.3">
      <c r="B22" s="47" t="s">
        <v>78</v>
      </c>
      <c r="C22" s="39" t="s">
        <v>79</v>
      </c>
      <c r="E22" s="39"/>
      <c r="V22" s="39"/>
      <c r="X22" s="39"/>
      <c r="Z22" s="39"/>
      <c r="AB22" s="39"/>
      <c r="AD22" s="39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</row>
    <row r="23" spans="2:119" ht="25" customHeight="1" x14ac:dyDescent="0.3">
      <c r="B23" s="47" t="s">
        <v>80</v>
      </c>
      <c r="C23" s="39" t="s">
        <v>81</v>
      </c>
      <c r="E23" s="39"/>
      <c r="V23" s="39"/>
      <c r="X23" s="39"/>
      <c r="Z23" s="39"/>
      <c r="AB23" s="39"/>
      <c r="AD23" s="39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</row>
    <row r="24" spans="2:119" ht="25" customHeight="1" x14ac:dyDescent="0.3">
      <c r="B24" s="47" t="s">
        <v>82</v>
      </c>
      <c r="C24" s="39" t="s">
        <v>83</v>
      </c>
      <c r="E24" s="39"/>
      <c r="V24" s="39"/>
      <c r="X24" s="39"/>
      <c r="Z24" s="39"/>
      <c r="AB24" s="39"/>
      <c r="AD24" s="39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</row>
    <row r="25" spans="2:119" ht="25" customHeight="1" x14ac:dyDescent="0.3">
      <c r="B25" s="47" t="s">
        <v>84</v>
      </c>
      <c r="C25" s="39" t="s">
        <v>85</v>
      </c>
      <c r="E25" s="39"/>
      <c r="V25" s="39"/>
      <c r="X25" s="39"/>
      <c r="Z25" s="39"/>
      <c r="AB25" s="39"/>
      <c r="AD25" s="39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</row>
    <row r="26" spans="2:119" ht="25" customHeight="1" x14ac:dyDescent="0.3">
      <c r="B26" s="47" t="s">
        <v>86</v>
      </c>
      <c r="C26" s="39" t="s">
        <v>87</v>
      </c>
      <c r="E26" s="39"/>
      <c r="V26" s="39"/>
      <c r="X26" s="39"/>
      <c r="Z26" s="39"/>
      <c r="AB26" s="39"/>
      <c r="AD26" s="39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</row>
    <row r="27" spans="2:119" ht="25" customHeight="1" x14ac:dyDescent="0.3">
      <c r="B27" s="47" t="s">
        <v>88</v>
      </c>
      <c r="C27" s="39" t="s">
        <v>89</v>
      </c>
      <c r="E27" s="39"/>
      <c r="V27" s="39"/>
      <c r="X27" s="39"/>
      <c r="Z27" s="39"/>
      <c r="AB27" s="39"/>
      <c r="AD27" s="39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</row>
    <row r="28" spans="2:119" ht="25" customHeight="1" x14ac:dyDescent="0.3">
      <c r="B28" s="47" t="s">
        <v>90</v>
      </c>
      <c r="C28" s="39" t="s">
        <v>91</v>
      </c>
      <c r="E28" s="39"/>
      <c r="V28" s="39"/>
      <c r="X28" s="39"/>
      <c r="Z28" s="39"/>
      <c r="AB28" s="39"/>
      <c r="AD28" s="39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</row>
    <row r="29" spans="2:119" ht="25" customHeight="1" x14ac:dyDescent="0.3">
      <c r="B29" s="47" t="s">
        <v>92</v>
      </c>
      <c r="C29" s="39" t="s">
        <v>93</v>
      </c>
      <c r="E29" s="39"/>
      <c r="V29" s="39"/>
      <c r="X29" s="39"/>
      <c r="Z29" s="39"/>
      <c r="AB29" s="39"/>
      <c r="AD29" s="39"/>
      <c r="AF29" s="7"/>
      <c r="AG29" s="5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</row>
    <row r="30" spans="2:119" ht="25" customHeight="1" x14ac:dyDescent="0.3">
      <c r="B30" s="47" t="s">
        <v>94</v>
      </c>
      <c r="C30" s="39" t="s">
        <v>95</v>
      </c>
      <c r="E30" s="39"/>
      <c r="V30" s="39"/>
      <c r="X30" s="39"/>
      <c r="Z30" s="39"/>
      <c r="AB30" s="39"/>
      <c r="AD30" s="39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</row>
    <row r="31" spans="2:119" ht="25" customHeight="1" x14ac:dyDescent="0.3">
      <c r="B31" s="47" t="s">
        <v>96</v>
      </c>
      <c r="C31" s="39" t="s">
        <v>97</v>
      </c>
      <c r="E31" s="39"/>
      <c r="V31" s="39"/>
      <c r="X31" s="39"/>
      <c r="Z31" s="39"/>
      <c r="AB31" s="39"/>
      <c r="AD31" s="39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</row>
    <row r="32" spans="2:119" ht="25" customHeight="1" x14ac:dyDescent="0.3">
      <c r="B32" s="47" t="s">
        <v>98</v>
      </c>
      <c r="C32" s="39" t="s">
        <v>120</v>
      </c>
      <c r="E32" s="39"/>
      <c r="V32" s="39"/>
      <c r="X32" s="39"/>
      <c r="Z32" s="39"/>
      <c r="AB32" s="39"/>
      <c r="AD32" s="39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</row>
    <row r="33" spans="2:119" ht="25" customHeight="1" x14ac:dyDescent="0.3">
      <c r="B33" s="47" t="s">
        <v>99</v>
      </c>
      <c r="C33" s="39" t="s">
        <v>121</v>
      </c>
      <c r="E33" s="39"/>
      <c r="V33" s="39"/>
      <c r="X33" s="39"/>
      <c r="Z33" s="39"/>
      <c r="AB33" s="39"/>
      <c r="AD33" s="39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</row>
    <row r="34" spans="2:119" ht="25" customHeight="1" x14ac:dyDescent="0.3">
      <c r="B34" s="47" t="s">
        <v>101</v>
      </c>
      <c r="C34" s="39" t="s">
        <v>122</v>
      </c>
      <c r="E34" s="39"/>
      <c r="V34" s="39"/>
      <c r="X34" s="39"/>
      <c r="Z34" s="39"/>
      <c r="AB34" s="39"/>
      <c r="AD34" s="39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</row>
    <row r="35" spans="2:119" ht="25" customHeight="1" x14ac:dyDescent="0.3">
      <c r="B35" s="47" t="s">
        <v>130</v>
      </c>
      <c r="C35" s="39" t="s">
        <v>123</v>
      </c>
      <c r="E35" s="39"/>
      <c r="V35" s="39"/>
      <c r="X35" s="39"/>
      <c r="Z35" s="39"/>
      <c r="AB35" s="39"/>
      <c r="AD35" s="39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</row>
    <row r="36" spans="2:119" ht="25" customHeight="1" x14ac:dyDescent="0.3">
      <c r="B36" s="47" t="s">
        <v>131</v>
      </c>
      <c r="C36" s="39" t="s">
        <v>124</v>
      </c>
      <c r="E36" s="39"/>
      <c r="V36" s="39"/>
      <c r="X36" s="39"/>
      <c r="Z36" s="39"/>
      <c r="AB36" s="39"/>
      <c r="AD36" s="39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</row>
    <row r="37" spans="2:119" ht="25" customHeight="1" x14ac:dyDescent="0.3">
      <c r="B37" s="47" t="s">
        <v>132</v>
      </c>
      <c r="C37" s="39" t="s">
        <v>125</v>
      </c>
      <c r="E37" s="39"/>
      <c r="V37" s="39"/>
      <c r="X37" s="39"/>
      <c r="Z37" s="39"/>
      <c r="AB37" s="39"/>
      <c r="AD37" s="39"/>
      <c r="AF37" s="7"/>
      <c r="AG37" s="5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</row>
    <row r="38" spans="2:119" ht="25" customHeight="1" x14ac:dyDescent="0.3">
      <c r="B38" s="47" t="s">
        <v>133</v>
      </c>
      <c r="C38" s="39" t="s">
        <v>126</v>
      </c>
      <c r="E38" s="39"/>
      <c r="V38" s="39"/>
      <c r="X38" s="39"/>
      <c r="Z38" s="39"/>
      <c r="AB38" s="39"/>
      <c r="AD38" s="39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</row>
    <row r="39" spans="2:119" ht="25" customHeight="1" x14ac:dyDescent="0.3">
      <c r="B39" s="47" t="s">
        <v>134</v>
      </c>
      <c r="C39" s="39" t="s">
        <v>127</v>
      </c>
      <c r="E39" s="39"/>
      <c r="V39" s="39"/>
      <c r="X39" s="39"/>
      <c r="Z39" s="39"/>
      <c r="AB39" s="39"/>
      <c r="AD39" s="39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</row>
    <row r="40" spans="2:119" ht="25" customHeight="1" x14ac:dyDescent="0.3">
      <c r="B40" s="47" t="s">
        <v>135</v>
      </c>
      <c r="C40" s="39" t="s">
        <v>128</v>
      </c>
      <c r="E40" s="39"/>
      <c r="V40" s="39"/>
      <c r="X40" s="39"/>
      <c r="Z40" s="39"/>
      <c r="AB40" s="39"/>
      <c r="AD40" s="39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</row>
    <row r="41" spans="2:119" ht="25" customHeight="1" x14ac:dyDescent="0.3">
      <c r="B41" s="47" t="s">
        <v>136</v>
      </c>
      <c r="C41" s="39" t="s">
        <v>129</v>
      </c>
      <c r="E41" s="39"/>
      <c r="V41" s="39"/>
      <c r="X41" s="39"/>
      <c r="Z41" s="39"/>
      <c r="AB41" s="39"/>
      <c r="AD41" s="39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</row>
    <row r="42" spans="2:119" ht="25" customHeight="1" x14ac:dyDescent="0.3">
      <c r="B42" s="47" t="s">
        <v>137</v>
      </c>
      <c r="C42" s="39" t="s">
        <v>138</v>
      </c>
      <c r="E42" s="39"/>
      <c r="V42" s="39"/>
      <c r="X42" s="39"/>
      <c r="Z42" s="39"/>
      <c r="AB42" s="39"/>
      <c r="AD42" s="39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</row>
    <row r="43" spans="2:119" ht="25" customHeight="1" x14ac:dyDescent="0.3">
      <c r="B43" s="47" t="s">
        <v>140</v>
      </c>
      <c r="C43" s="39" t="s">
        <v>139</v>
      </c>
      <c r="E43" s="39"/>
      <c r="V43" s="39"/>
      <c r="X43" s="39"/>
      <c r="Z43" s="39"/>
      <c r="AB43" s="39"/>
      <c r="AD43" s="39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</row>
    <row r="44" spans="2:119" ht="25" customHeight="1" x14ac:dyDescent="0.3">
      <c r="B44" s="47" t="s">
        <v>141</v>
      </c>
      <c r="C44" s="50" t="s">
        <v>100</v>
      </c>
      <c r="E44" s="39"/>
      <c r="V44" s="39"/>
      <c r="X44" s="39"/>
      <c r="Z44" s="39"/>
      <c r="AB44" s="39"/>
      <c r="AD44" s="39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</row>
    <row r="45" spans="2:119" ht="25" customHeight="1" x14ac:dyDescent="0.3">
      <c r="B45" s="48" t="s">
        <v>119</v>
      </c>
      <c r="C45" s="42" t="s">
        <v>102</v>
      </c>
      <c r="E45" s="39"/>
      <c r="V45" s="39"/>
      <c r="X45" s="39"/>
      <c r="Z45" s="39"/>
      <c r="AB45" s="39"/>
      <c r="AD45" s="39"/>
      <c r="AF45" s="7"/>
      <c r="AG45" s="5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</row>
    <row r="46" spans="2:119" ht="25" customHeight="1" x14ac:dyDescent="0.3">
      <c r="B46" s="47" t="s">
        <v>103</v>
      </c>
      <c r="C46" s="39" t="s">
        <v>104</v>
      </c>
      <c r="E46" s="39"/>
      <c r="V46" s="39"/>
      <c r="X46" s="39"/>
      <c r="Z46" s="39"/>
      <c r="AB46" s="39"/>
      <c r="AD46" s="39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</row>
    <row r="47" spans="2:119" ht="25" customHeight="1" x14ac:dyDescent="0.3">
      <c r="B47" s="47" t="s">
        <v>105</v>
      </c>
      <c r="C47" s="39" t="s">
        <v>106</v>
      </c>
      <c r="E47" s="39"/>
      <c r="V47" s="39"/>
      <c r="X47" s="39"/>
      <c r="Z47" s="39"/>
      <c r="AB47" s="39"/>
      <c r="AD47" s="39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</row>
    <row r="48" spans="2:119" ht="25" customHeight="1" x14ac:dyDescent="0.3">
      <c r="B48" s="47" t="s">
        <v>107</v>
      </c>
      <c r="C48" s="39" t="s">
        <v>108</v>
      </c>
      <c r="E48" s="39"/>
      <c r="V48" s="39"/>
      <c r="X48" s="39"/>
      <c r="Z48" s="39"/>
      <c r="AB48" s="39"/>
      <c r="AD48" s="39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</row>
    <row r="49" spans="2:119" ht="25" customHeight="1" x14ac:dyDescent="0.3">
      <c r="B49" s="47" t="s">
        <v>109</v>
      </c>
      <c r="C49" s="39" t="s">
        <v>110</v>
      </c>
      <c r="E49" s="39"/>
      <c r="V49" s="39"/>
      <c r="X49" s="39"/>
      <c r="Z49" s="39"/>
      <c r="AB49" s="39"/>
      <c r="AD49" s="39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</row>
    <row r="50" spans="2:119" ht="25" customHeight="1" x14ac:dyDescent="0.3">
      <c r="B50" s="47" t="s">
        <v>111</v>
      </c>
      <c r="C50" s="39" t="s">
        <v>112</v>
      </c>
      <c r="E50" s="39"/>
      <c r="V50" s="39"/>
      <c r="X50" s="39"/>
      <c r="Z50" s="39"/>
      <c r="AB50" s="39"/>
      <c r="AD50" s="39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</row>
    <row r="51" spans="2:119" ht="25" customHeight="1" x14ac:dyDescent="0.3">
      <c r="B51" s="47" t="s">
        <v>113</v>
      </c>
      <c r="C51" s="39" t="s">
        <v>114</v>
      </c>
      <c r="E51" s="39"/>
      <c r="V51" s="39"/>
      <c r="X51" s="39"/>
      <c r="Z51" s="39"/>
      <c r="AB51" s="39"/>
      <c r="AD51" s="39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</row>
    <row r="52" spans="2:119" ht="25" customHeight="1" x14ac:dyDescent="0.3">
      <c r="B52" s="47" t="s">
        <v>115</v>
      </c>
      <c r="C52" s="50" t="s">
        <v>116</v>
      </c>
      <c r="E52" s="39"/>
      <c r="V52" s="39"/>
      <c r="X52" s="39"/>
      <c r="Z52" s="39"/>
      <c r="AB52" s="39"/>
      <c r="AD52" s="39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</row>
    <row r="53" spans="2:119" ht="25" customHeight="1" x14ac:dyDescent="0.3">
      <c r="B53" s="46">
        <v>1.2</v>
      </c>
      <c r="C53" s="38" t="s">
        <v>117</v>
      </c>
      <c r="E53" s="39"/>
      <c r="V53" s="39"/>
      <c r="X53" s="39"/>
      <c r="Z53" s="39"/>
      <c r="AB53" s="39"/>
      <c r="AD53" s="39"/>
      <c r="AF53" s="7"/>
      <c r="AG53" s="5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</row>
    <row r="54" spans="2:119" ht="25" customHeight="1" x14ac:dyDescent="0.3">
      <c r="B54" s="46" t="s">
        <v>118</v>
      </c>
      <c r="C54" s="37" t="s">
        <v>144</v>
      </c>
      <c r="E54" s="39"/>
      <c r="V54" s="39"/>
      <c r="X54" s="39"/>
      <c r="Z54" s="39"/>
      <c r="AB54" s="39"/>
      <c r="AD54" s="39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</row>
    <row r="55" spans="2:119" ht="25" customHeight="1" x14ac:dyDescent="0.3">
      <c r="B55" s="47" t="s">
        <v>151</v>
      </c>
      <c r="C55" s="40" t="s">
        <v>145</v>
      </c>
      <c r="E55" s="39"/>
      <c r="V55" s="39"/>
      <c r="X55" s="39"/>
      <c r="Z55" s="39"/>
      <c r="AB55" s="39"/>
      <c r="AD55" s="39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</row>
    <row r="56" spans="2:119" ht="25" customHeight="1" x14ac:dyDescent="0.3">
      <c r="B56" s="47" t="s">
        <v>152</v>
      </c>
      <c r="C56" s="40" t="s">
        <v>146</v>
      </c>
      <c r="E56" s="39"/>
      <c r="V56" s="39"/>
      <c r="X56" s="39"/>
      <c r="Z56" s="39"/>
      <c r="AB56" s="39"/>
      <c r="AD56" s="39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</row>
    <row r="57" spans="2:119" ht="25" customHeight="1" x14ac:dyDescent="0.3">
      <c r="B57" s="47" t="s">
        <v>153</v>
      </c>
      <c r="C57" s="40" t="s">
        <v>147</v>
      </c>
      <c r="E57" s="39"/>
      <c r="V57" s="39"/>
      <c r="X57" s="39"/>
      <c r="Z57" s="39"/>
      <c r="AB57" s="39"/>
      <c r="AD57" s="39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</row>
    <row r="58" spans="2:119" ht="25" customHeight="1" x14ac:dyDescent="0.3">
      <c r="B58" s="47" t="s">
        <v>154</v>
      </c>
      <c r="C58" s="41" t="s">
        <v>148</v>
      </c>
      <c r="E58" s="39"/>
      <c r="V58" s="39"/>
      <c r="X58" s="39"/>
      <c r="Z58" s="39"/>
      <c r="AB58" s="39"/>
      <c r="AD58" s="39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</row>
    <row r="59" spans="2:119" ht="25" customHeight="1" x14ac:dyDescent="0.3">
      <c r="B59" s="46" t="s">
        <v>149</v>
      </c>
      <c r="C59" s="37" t="s">
        <v>161</v>
      </c>
      <c r="E59" s="39"/>
      <c r="V59" s="39"/>
      <c r="X59" s="39"/>
      <c r="Z59" s="39"/>
      <c r="AB59" s="39"/>
      <c r="AD59" s="39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</row>
    <row r="60" spans="2:119" ht="25" customHeight="1" x14ac:dyDescent="0.3">
      <c r="B60" s="47" t="s">
        <v>155</v>
      </c>
      <c r="C60" s="40" t="s">
        <v>51</v>
      </c>
      <c r="E60" s="39"/>
      <c r="V60" s="39"/>
      <c r="X60" s="39"/>
      <c r="Z60" s="39"/>
      <c r="AB60" s="39"/>
      <c r="AD60" s="39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</row>
    <row r="61" spans="2:119" ht="25" customHeight="1" x14ac:dyDescent="0.3">
      <c r="B61" s="47" t="s">
        <v>156</v>
      </c>
      <c r="C61" s="40" t="s">
        <v>160</v>
      </c>
      <c r="E61" s="39"/>
      <c r="V61" s="39"/>
      <c r="X61" s="39"/>
      <c r="Z61" s="39"/>
      <c r="AB61" s="39"/>
      <c r="AD61" s="39"/>
      <c r="AF61" s="7"/>
      <c r="AG61" s="5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</row>
    <row r="62" spans="2:119" ht="25" customHeight="1" x14ac:dyDescent="0.3">
      <c r="B62" s="47" t="s">
        <v>157</v>
      </c>
      <c r="C62" s="40" t="s">
        <v>162</v>
      </c>
      <c r="E62" s="39"/>
      <c r="V62" s="39"/>
      <c r="X62" s="39"/>
      <c r="Z62" s="39"/>
      <c r="AB62" s="39"/>
      <c r="AD62" s="39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</row>
    <row r="63" spans="2:119" ht="25" customHeight="1" x14ac:dyDescent="0.3">
      <c r="B63" s="47" t="s">
        <v>158</v>
      </c>
      <c r="C63" s="40" t="s">
        <v>163</v>
      </c>
      <c r="E63" s="39"/>
      <c r="V63" s="39"/>
      <c r="X63" s="39"/>
      <c r="Z63" s="39"/>
      <c r="AB63" s="39"/>
      <c r="AD63" s="39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</row>
    <row r="64" spans="2:119" ht="25" customHeight="1" x14ac:dyDescent="0.3">
      <c r="B64" s="47" t="s">
        <v>159</v>
      </c>
      <c r="C64" s="50" t="s">
        <v>165</v>
      </c>
      <c r="E64" s="39"/>
      <c r="V64" s="39"/>
      <c r="X64" s="39"/>
      <c r="Z64" s="39"/>
      <c r="AB64" s="39"/>
      <c r="AD64" s="39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</row>
    <row r="65" spans="2:119" ht="25" customHeight="1" x14ac:dyDescent="0.3">
      <c r="B65" s="46" t="s">
        <v>164</v>
      </c>
      <c r="C65" s="37" t="s">
        <v>172</v>
      </c>
      <c r="E65" s="39"/>
      <c r="V65" s="39"/>
      <c r="X65" s="39"/>
      <c r="Z65" s="39"/>
      <c r="AB65" s="39"/>
      <c r="AD65" s="39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</row>
    <row r="66" spans="2:119" ht="25" customHeight="1" x14ac:dyDescent="0.3">
      <c r="B66" s="47" t="s">
        <v>166</v>
      </c>
      <c r="C66" s="40" t="s">
        <v>51</v>
      </c>
      <c r="E66" s="39"/>
      <c r="V66" s="39"/>
      <c r="X66" s="39"/>
      <c r="Z66" s="39"/>
      <c r="AB66" s="39"/>
      <c r="AD66" s="39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</row>
    <row r="67" spans="2:119" ht="25" customHeight="1" x14ac:dyDescent="0.3">
      <c r="B67" s="47" t="s">
        <v>167</v>
      </c>
      <c r="C67" s="40" t="s">
        <v>150</v>
      </c>
      <c r="E67" s="39"/>
      <c r="V67" s="39"/>
      <c r="X67" s="39"/>
      <c r="Z67" s="39"/>
      <c r="AB67" s="39"/>
      <c r="AD67" s="39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</row>
    <row r="68" spans="2:119" ht="25" customHeight="1" x14ac:dyDescent="0.3">
      <c r="B68" s="47" t="s">
        <v>168</v>
      </c>
      <c r="C68" s="40" t="s">
        <v>142</v>
      </c>
      <c r="E68" s="39"/>
      <c r="V68" s="39"/>
      <c r="X68" s="39"/>
      <c r="Z68" s="39"/>
      <c r="AB68" s="39"/>
      <c r="AD68" s="39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</row>
    <row r="69" spans="2:119" ht="25" customHeight="1" x14ac:dyDescent="0.3">
      <c r="B69" s="47" t="s">
        <v>169</v>
      </c>
      <c r="C69" s="40" t="s">
        <v>143</v>
      </c>
      <c r="E69" s="39"/>
      <c r="V69" s="39"/>
      <c r="X69" s="39"/>
      <c r="Z69" s="39"/>
      <c r="AB69" s="39"/>
      <c r="AD69" s="39"/>
      <c r="AF69" s="7"/>
      <c r="AG69" s="5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</row>
    <row r="70" spans="2:119" ht="25" customHeight="1" x14ac:dyDescent="0.3">
      <c r="B70" s="47" t="s">
        <v>170</v>
      </c>
      <c r="C70" s="50" t="s">
        <v>171</v>
      </c>
      <c r="E70" s="39"/>
      <c r="V70" s="39"/>
      <c r="X70" s="39"/>
      <c r="Z70" s="39"/>
      <c r="AB70" s="39"/>
      <c r="AD70" s="39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</row>
    <row r="71" spans="2:119" ht="25" customHeight="1" x14ac:dyDescent="0.3">
      <c r="B71" s="46" t="s">
        <v>173</v>
      </c>
      <c r="C71" s="37" t="s">
        <v>174</v>
      </c>
      <c r="E71" s="39"/>
      <c r="V71" s="39"/>
      <c r="X71" s="39"/>
      <c r="Z71" s="39"/>
      <c r="AB71" s="39"/>
      <c r="AD71" s="39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</row>
    <row r="72" spans="2:119" ht="25" customHeight="1" x14ac:dyDescent="0.3">
      <c r="B72" s="47" t="s">
        <v>181</v>
      </c>
      <c r="C72" s="40" t="s">
        <v>175</v>
      </c>
      <c r="E72" s="39"/>
      <c r="V72" s="39"/>
      <c r="X72" s="39"/>
      <c r="Z72" s="39"/>
      <c r="AB72" s="39"/>
      <c r="AD72" s="39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</row>
    <row r="73" spans="2:119" ht="25" customHeight="1" x14ac:dyDescent="0.3">
      <c r="B73" s="47" t="s">
        <v>182</v>
      </c>
      <c r="C73" s="40" t="s">
        <v>176</v>
      </c>
      <c r="E73" s="39"/>
      <c r="V73" s="39"/>
      <c r="X73" s="39"/>
      <c r="Z73" s="39"/>
      <c r="AB73" s="39"/>
      <c r="AD73" s="39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</row>
    <row r="74" spans="2:119" ht="25" customHeight="1" x14ac:dyDescent="0.3">
      <c r="B74" s="47" t="s">
        <v>183</v>
      </c>
      <c r="C74" s="40" t="s">
        <v>177</v>
      </c>
      <c r="E74" s="39"/>
      <c r="V74" s="39"/>
      <c r="X74" s="39"/>
      <c r="Z74" s="39"/>
      <c r="AB74" s="39"/>
      <c r="AD74" s="39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</row>
    <row r="75" spans="2:119" ht="25" customHeight="1" x14ac:dyDescent="0.3">
      <c r="B75" s="47" t="s">
        <v>184</v>
      </c>
      <c r="C75" s="40" t="s">
        <v>178</v>
      </c>
      <c r="E75" s="39"/>
      <c r="V75" s="39"/>
      <c r="X75" s="39"/>
      <c r="Z75" s="39"/>
      <c r="AB75" s="39"/>
      <c r="AD75" s="39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</row>
    <row r="76" spans="2:119" ht="25" customHeight="1" x14ac:dyDescent="0.3">
      <c r="B76" s="47" t="s">
        <v>185</v>
      </c>
      <c r="C76" s="40" t="s">
        <v>179</v>
      </c>
      <c r="E76" s="39"/>
      <c r="V76" s="39"/>
      <c r="X76" s="39"/>
      <c r="Z76" s="39"/>
      <c r="AB76" s="39"/>
      <c r="AD76" s="39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</row>
    <row r="77" spans="2:119" ht="25" customHeight="1" x14ac:dyDescent="0.3">
      <c r="B77" s="47" t="s">
        <v>186</v>
      </c>
      <c r="C77" s="50" t="s">
        <v>180</v>
      </c>
      <c r="E77" s="39"/>
      <c r="V77" s="39"/>
      <c r="X77" s="39"/>
      <c r="Z77" s="39"/>
      <c r="AB77" s="39"/>
      <c r="AD77" s="39"/>
      <c r="AF77" s="7"/>
      <c r="AG77" s="5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</row>
    <row r="78" spans="2:119" ht="25" customHeight="1" x14ac:dyDescent="0.3">
      <c r="B78" s="46" t="s">
        <v>187</v>
      </c>
      <c r="C78" s="37" t="s">
        <v>188</v>
      </c>
      <c r="E78" s="39"/>
      <c r="V78" s="39"/>
      <c r="X78" s="39"/>
      <c r="Z78" s="39"/>
      <c r="AB78" s="39"/>
      <c r="AD78" s="39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</row>
    <row r="79" spans="2:119" ht="25" customHeight="1" x14ac:dyDescent="0.3">
      <c r="B79" s="47" t="s">
        <v>194</v>
      </c>
      <c r="C79" s="40" t="s">
        <v>189</v>
      </c>
      <c r="E79" s="39"/>
      <c r="V79" s="39"/>
      <c r="X79" s="39"/>
      <c r="Z79" s="39"/>
      <c r="AB79" s="39"/>
      <c r="AD79" s="39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</row>
    <row r="80" spans="2:119" ht="25" customHeight="1" x14ac:dyDescent="0.3">
      <c r="B80" s="47" t="s">
        <v>195</v>
      </c>
      <c r="C80" s="40" t="s">
        <v>190</v>
      </c>
      <c r="E80" s="39"/>
      <c r="V80" s="39"/>
      <c r="X80" s="39"/>
      <c r="Z80" s="39"/>
      <c r="AB80" s="39"/>
      <c r="AD80" s="39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</row>
    <row r="81" spans="2:119" ht="25" customHeight="1" x14ac:dyDescent="0.3">
      <c r="B81" s="47" t="s">
        <v>196</v>
      </c>
      <c r="C81" s="40" t="s">
        <v>177</v>
      </c>
      <c r="E81" s="39"/>
      <c r="V81" s="39"/>
      <c r="X81" s="39"/>
      <c r="Z81" s="39"/>
      <c r="AB81" s="39"/>
      <c r="AD81" s="39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</row>
    <row r="82" spans="2:119" ht="25" customHeight="1" x14ac:dyDescent="0.3">
      <c r="B82" s="47" t="s">
        <v>197</v>
      </c>
      <c r="C82" s="40" t="s">
        <v>191</v>
      </c>
      <c r="E82" s="39"/>
      <c r="V82" s="39"/>
      <c r="X82" s="39"/>
      <c r="Z82" s="39"/>
      <c r="AB82" s="39"/>
      <c r="AD82" s="39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</row>
    <row r="83" spans="2:119" ht="25" customHeight="1" x14ac:dyDescent="0.3">
      <c r="B83" s="47" t="s">
        <v>198</v>
      </c>
      <c r="C83" s="40" t="s">
        <v>192</v>
      </c>
      <c r="E83" s="39"/>
      <c r="V83" s="39"/>
      <c r="X83" s="39"/>
      <c r="Z83" s="39"/>
      <c r="AB83" s="39"/>
      <c r="AD83" s="39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</row>
    <row r="84" spans="2:119" ht="25" customHeight="1" x14ac:dyDescent="0.3">
      <c r="B84" s="47" t="s">
        <v>199</v>
      </c>
      <c r="C84" s="40" t="s">
        <v>193</v>
      </c>
      <c r="E84" s="39"/>
      <c r="V84" s="39"/>
      <c r="X84" s="39"/>
      <c r="Z84" s="39"/>
      <c r="AB84" s="39"/>
      <c r="AD84" s="39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</row>
    <row r="85" spans="2:119" ht="25" customHeight="1" x14ac:dyDescent="0.3">
      <c r="B85" s="47" t="s">
        <v>200</v>
      </c>
      <c r="C85" s="50" t="s">
        <v>201</v>
      </c>
      <c r="E85" s="39"/>
      <c r="V85" s="39"/>
      <c r="X85" s="39"/>
      <c r="Z85" s="39"/>
      <c r="AB85" s="39"/>
      <c r="AD85" s="39"/>
      <c r="AF85" s="7"/>
      <c r="AG85" s="5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</row>
    <row r="86" spans="2:119" ht="25" customHeight="1" x14ac:dyDescent="0.3">
      <c r="B86" s="46" t="s">
        <v>202</v>
      </c>
      <c r="C86" s="37" t="s">
        <v>203</v>
      </c>
      <c r="E86" s="39"/>
      <c r="V86" s="39"/>
      <c r="X86" s="39"/>
      <c r="Z86" s="39"/>
      <c r="AB86" s="39"/>
      <c r="AD86" s="39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</row>
    <row r="87" spans="2:119" ht="25" customHeight="1" x14ac:dyDescent="0.3">
      <c r="B87" s="47" t="s">
        <v>204</v>
      </c>
      <c r="C87" s="40" t="s">
        <v>206</v>
      </c>
      <c r="E87" s="39"/>
      <c r="V87" s="39"/>
      <c r="X87" s="39"/>
      <c r="Z87" s="39"/>
      <c r="AB87" s="39"/>
      <c r="AD87" s="39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</row>
    <row r="88" spans="2:119" ht="25" customHeight="1" x14ac:dyDescent="0.3">
      <c r="B88" s="47" t="s">
        <v>211</v>
      </c>
      <c r="C88" s="40" t="s">
        <v>205</v>
      </c>
      <c r="E88" s="39"/>
      <c r="V88" s="39"/>
      <c r="X88" s="39"/>
      <c r="Z88" s="39"/>
      <c r="AB88" s="39"/>
      <c r="AD88" s="39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</row>
    <row r="89" spans="2:119" ht="25" customHeight="1" x14ac:dyDescent="0.3">
      <c r="B89" s="47" t="s">
        <v>212</v>
      </c>
      <c r="C89" s="40" t="s">
        <v>207</v>
      </c>
      <c r="E89" s="39"/>
      <c r="V89" s="39"/>
      <c r="X89" s="39"/>
      <c r="Z89" s="39"/>
      <c r="AB89" s="39"/>
      <c r="AD89" s="39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</row>
    <row r="90" spans="2:119" ht="25" customHeight="1" x14ac:dyDescent="0.3">
      <c r="B90" s="47" t="s">
        <v>213</v>
      </c>
      <c r="C90" s="40" t="s">
        <v>208</v>
      </c>
      <c r="E90" s="39"/>
      <c r="V90" s="39"/>
      <c r="X90" s="39"/>
      <c r="Z90" s="39"/>
      <c r="AB90" s="39"/>
      <c r="AD90" s="39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</row>
    <row r="91" spans="2:119" ht="25" customHeight="1" x14ac:dyDescent="0.3">
      <c r="B91" s="47" t="s">
        <v>214</v>
      </c>
      <c r="C91" s="40" t="s">
        <v>209</v>
      </c>
      <c r="E91" s="39"/>
      <c r="V91" s="39"/>
      <c r="X91" s="39"/>
      <c r="Z91" s="39"/>
      <c r="AB91" s="39"/>
      <c r="AD91" s="39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</row>
    <row r="92" spans="2:119" ht="25" customHeight="1" x14ac:dyDescent="0.3">
      <c r="B92" s="47" t="s">
        <v>215</v>
      </c>
      <c r="C92" s="50" t="s">
        <v>210</v>
      </c>
      <c r="E92" s="39"/>
      <c r="V92" s="39"/>
      <c r="X92" s="39"/>
      <c r="Z92" s="39"/>
      <c r="AB92" s="39"/>
      <c r="AD92" s="39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</row>
    <row r="93" spans="2:119" ht="25" customHeight="1" x14ac:dyDescent="0.3">
      <c r="B93" s="46">
        <v>1.3</v>
      </c>
      <c r="C93" s="38" t="s">
        <v>216</v>
      </c>
      <c r="E93" s="39"/>
      <c r="V93" s="39"/>
      <c r="X93" s="39"/>
      <c r="Z93" s="39"/>
      <c r="AB93" s="39"/>
      <c r="AD93" s="39"/>
      <c r="AF93" s="7"/>
      <c r="AG93" s="5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</row>
    <row r="94" spans="2:119" ht="25" customHeight="1" x14ac:dyDescent="0.3">
      <c r="B94" s="46" t="s">
        <v>217</v>
      </c>
      <c r="C94" s="37" t="s">
        <v>218</v>
      </c>
      <c r="E94" s="39"/>
      <c r="V94" s="39"/>
      <c r="X94" s="39"/>
      <c r="Z94" s="39"/>
      <c r="AB94" s="39"/>
      <c r="AD94" s="39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</row>
    <row r="95" spans="2:119" ht="25" customHeight="1" x14ac:dyDescent="0.3">
      <c r="B95" s="47" t="s">
        <v>219</v>
      </c>
      <c r="C95" s="40" t="s">
        <v>220</v>
      </c>
      <c r="E95" s="39"/>
      <c r="V95" s="39"/>
      <c r="X95" s="39"/>
      <c r="Z95" s="39"/>
      <c r="AB95" s="39"/>
      <c r="AD95" s="39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</row>
    <row r="96" spans="2:119" ht="25" customHeight="1" x14ac:dyDescent="0.3">
      <c r="B96" s="47" t="s">
        <v>227</v>
      </c>
      <c r="C96" s="40" t="s">
        <v>222</v>
      </c>
      <c r="E96" s="39"/>
      <c r="V96" s="39"/>
      <c r="X96" s="39"/>
      <c r="Z96" s="39"/>
      <c r="AB96" s="39"/>
      <c r="AD96" s="39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</row>
    <row r="97" spans="2:119" ht="25" customHeight="1" x14ac:dyDescent="0.3">
      <c r="B97" s="47" t="s">
        <v>228</v>
      </c>
      <c r="C97" s="40" t="s">
        <v>223</v>
      </c>
      <c r="E97" s="39"/>
      <c r="V97" s="39"/>
      <c r="X97" s="39"/>
      <c r="Z97" s="39"/>
      <c r="AB97" s="39"/>
      <c r="AD97" s="39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</row>
    <row r="98" spans="2:119" ht="25" customHeight="1" x14ac:dyDescent="0.3">
      <c r="B98" s="47" t="s">
        <v>229</v>
      </c>
      <c r="C98" s="40" t="s">
        <v>224</v>
      </c>
      <c r="E98" s="39"/>
      <c r="V98" s="39"/>
      <c r="X98" s="39"/>
      <c r="Z98" s="39"/>
      <c r="AB98" s="39"/>
      <c r="AD98" s="39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</row>
    <row r="99" spans="2:119" ht="25" customHeight="1" x14ac:dyDescent="0.3">
      <c r="B99" s="47" t="s">
        <v>230</v>
      </c>
      <c r="C99" s="40" t="s">
        <v>225</v>
      </c>
      <c r="E99" s="39"/>
      <c r="V99" s="39"/>
      <c r="X99" s="39"/>
      <c r="Z99" s="39"/>
      <c r="AB99" s="39"/>
      <c r="AD99" s="39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</row>
    <row r="100" spans="2:119" ht="25" customHeight="1" x14ac:dyDescent="0.3">
      <c r="B100" s="47" t="s">
        <v>231</v>
      </c>
      <c r="C100" s="40" t="s">
        <v>236</v>
      </c>
      <c r="E100" s="39"/>
      <c r="V100" s="39"/>
      <c r="X100" s="39"/>
      <c r="Z100" s="39"/>
      <c r="AB100" s="39"/>
      <c r="AD100" s="39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</row>
    <row r="101" spans="2:119" ht="25" customHeight="1" x14ac:dyDescent="0.3">
      <c r="B101" s="47" t="s">
        <v>232</v>
      </c>
      <c r="C101" s="40" t="s">
        <v>237</v>
      </c>
      <c r="E101" s="39"/>
      <c r="V101" s="39"/>
      <c r="X101" s="39"/>
      <c r="Z101" s="39"/>
      <c r="AB101" s="39"/>
      <c r="AD101" s="39"/>
      <c r="AF101" s="7"/>
      <c r="AG101" s="5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</row>
    <row r="102" spans="2:119" ht="25" customHeight="1" x14ac:dyDescent="0.3">
      <c r="B102" s="47" t="s">
        <v>243</v>
      </c>
      <c r="C102" s="40" t="s">
        <v>238</v>
      </c>
      <c r="E102" s="39"/>
      <c r="V102" s="39"/>
      <c r="X102" s="39"/>
      <c r="Z102" s="39"/>
      <c r="AB102" s="39"/>
      <c r="AD102" s="39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</row>
    <row r="103" spans="2:119" ht="25" customHeight="1" x14ac:dyDescent="0.3">
      <c r="B103" s="47" t="s">
        <v>244</v>
      </c>
      <c r="C103" s="40" t="s">
        <v>239</v>
      </c>
      <c r="E103" s="39"/>
      <c r="V103" s="39"/>
      <c r="X103" s="39"/>
      <c r="Z103" s="39"/>
      <c r="AB103" s="39"/>
      <c r="AD103" s="39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</row>
    <row r="104" spans="2:119" ht="25" customHeight="1" x14ac:dyDescent="0.3">
      <c r="B104" s="47" t="s">
        <v>245</v>
      </c>
      <c r="C104" s="40" t="s">
        <v>240</v>
      </c>
      <c r="E104" s="39"/>
      <c r="V104" s="39"/>
      <c r="X104" s="39"/>
      <c r="Z104" s="39"/>
      <c r="AB104" s="39"/>
      <c r="AD104" s="39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</row>
    <row r="105" spans="2:119" ht="25" customHeight="1" x14ac:dyDescent="0.3">
      <c r="B105" s="47" t="s">
        <v>246</v>
      </c>
      <c r="C105" s="40" t="s">
        <v>250</v>
      </c>
      <c r="E105" s="39"/>
      <c r="V105" s="39"/>
      <c r="X105" s="39"/>
      <c r="Z105" s="39"/>
      <c r="AB105" s="39"/>
      <c r="AD105" s="39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</row>
    <row r="106" spans="2:119" ht="25" customHeight="1" x14ac:dyDescent="0.3">
      <c r="B106" s="47" t="s">
        <v>247</v>
      </c>
      <c r="C106" s="40" t="s">
        <v>241</v>
      </c>
      <c r="E106" s="39"/>
      <c r="V106" s="39"/>
      <c r="X106" s="39"/>
      <c r="Z106" s="39"/>
      <c r="AB106" s="39"/>
      <c r="AD106" s="39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</row>
    <row r="107" spans="2:119" ht="25" customHeight="1" x14ac:dyDescent="0.3">
      <c r="B107" s="47" t="s">
        <v>248</v>
      </c>
      <c r="C107" s="40" t="s">
        <v>242</v>
      </c>
      <c r="E107" s="39"/>
      <c r="V107" s="39"/>
      <c r="X107" s="39"/>
      <c r="Z107" s="39"/>
      <c r="AB107" s="39"/>
      <c r="AD107" s="39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</row>
    <row r="108" spans="2:119" ht="25" customHeight="1" x14ac:dyDescent="0.3">
      <c r="B108" s="47" t="s">
        <v>249</v>
      </c>
      <c r="C108" s="41" t="s">
        <v>251</v>
      </c>
      <c r="E108" s="39"/>
      <c r="V108" s="39"/>
      <c r="X108" s="39"/>
      <c r="Z108" s="39"/>
      <c r="AB108" s="39"/>
      <c r="AD108" s="39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</row>
    <row r="109" spans="2:119" ht="25" customHeight="1" x14ac:dyDescent="0.3">
      <c r="B109" s="46" t="s">
        <v>317</v>
      </c>
      <c r="C109" s="37" t="s">
        <v>233</v>
      </c>
      <c r="E109" s="39"/>
      <c r="V109" s="39"/>
      <c r="X109" s="39"/>
      <c r="Z109" s="39"/>
      <c r="AB109" s="39"/>
      <c r="AD109" s="39"/>
      <c r="AF109" s="7"/>
      <c r="AG109" s="5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</row>
    <row r="110" spans="2:119" ht="25" customHeight="1" x14ac:dyDescent="0.3">
      <c r="B110" s="47" t="s">
        <v>318</v>
      </c>
      <c r="C110" s="40" t="s">
        <v>221</v>
      </c>
      <c r="E110" s="39"/>
      <c r="V110" s="39"/>
      <c r="X110" s="39"/>
      <c r="Z110" s="39"/>
      <c r="AB110" s="39"/>
      <c r="AD110" s="39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</row>
    <row r="111" spans="2:119" ht="25" customHeight="1" x14ac:dyDescent="0.3">
      <c r="B111" s="47" t="s">
        <v>319</v>
      </c>
      <c r="C111" s="40" t="s">
        <v>235</v>
      </c>
      <c r="E111" s="39"/>
      <c r="V111" s="39"/>
      <c r="X111" s="39"/>
      <c r="Z111" s="39"/>
      <c r="AB111" s="39"/>
      <c r="AD111" s="39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</row>
    <row r="112" spans="2:119" ht="25" customHeight="1" x14ac:dyDescent="0.3">
      <c r="B112" s="47" t="s">
        <v>320</v>
      </c>
      <c r="C112" s="40" t="s">
        <v>226</v>
      </c>
      <c r="E112" s="39"/>
      <c r="V112" s="39"/>
      <c r="X112" s="39"/>
      <c r="Z112" s="39"/>
      <c r="AB112" s="39"/>
      <c r="AD112" s="23" t="s">
        <v>31</v>
      </c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</row>
    <row r="113" spans="2:119" ht="25" customHeight="1" x14ac:dyDescent="0.3">
      <c r="B113" s="47" t="s">
        <v>321</v>
      </c>
      <c r="C113" s="40" t="s">
        <v>253</v>
      </c>
      <c r="E113" s="39"/>
      <c r="V113" s="39"/>
      <c r="X113" s="39"/>
      <c r="Z113" s="39"/>
      <c r="AB113" s="39"/>
      <c r="AD113" s="24" t="s">
        <v>30</v>
      </c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</row>
    <row r="114" spans="2:119" ht="25" customHeight="1" x14ac:dyDescent="0.3">
      <c r="B114" s="47" t="s">
        <v>322</v>
      </c>
      <c r="C114" s="40" t="s">
        <v>254</v>
      </c>
      <c r="E114" s="39"/>
      <c r="V114" s="39"/>
      <c r="X114" s="39"/>
      <c r="Z114" s="39"/>
      <c r="AB114" s="39" t="s">
        <v>272</v>
      </c>
      <c r="AD114" s="23" t="s">
        <v>31</v>
      </c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</row>
    <row r="115" spans="2:119" ht="25" customHeight="1" x14ac:dyDescent="0.3">
      <c r="B115" s="47" t="s">
        <v>323</v>
      </c>
      <c r="C115" s="40" t="s">
        <v>255</v>
      </c>
      <c r="E115" s="39"/>
      <c r="V115" s="39"/>
      <c r="X115" s="39"/>
      <c r="Z115" s="39"/>
      <c r="AB115" s="39" t="s">
        <v>272</v>
      </c>
      <c r="AD115" s="23" t="s">
        <v>31</v>
      </c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</row>
    <row r="116" spans="2:119" ht="25" customHeight="1" x14ac:dyDescent="0.3">
      <c r="B116" s="47" t="s">
        <v>324</v>
      </c>
      <c r="C116" s="40" t="s">
        <v>256</v>
      </c>
      <c r="E116" s="39"/>
      <c r="V116" s="39"/>
      <c r="X116" s="39"/>
      <c r="Z116" s="39"/>
      <c r="AB116" s="39" t="s">
        <v>272</v>
      </c>
      <c r="AD116" s="23" t="s">
        <v>31</v>
      </c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</row>
    <row r="117" spans="2:119" ht="25" customHeight="1" x14ac:dyDescent="0.3">
      <c r="B117" s="47" t="s">
        <v>325</v>
      </c>
      <c r="C117" s="40" t="s">
        <v>260</v>
      </c>
      <c r="E117" s="39"/>
      <c r="V117" s="39"/>
      <c r="X117" s="39"/>
      <c r="Z117" s="39"/>
      <c r="AB117" s="39" t="s">
        <v>272</v>
      </c>
      <c r="AD117" s="23" t="s">
        <v>31</v>
      </c>
      <c r="AF117" s="7"/>
      <c r="AG117" s="5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</row>
    <row r="118" spans="2:119" ht="25" customHeight="1" x14ac:dyDescent="0.3">
      <c r="B118" s="47" t="s">
        <v>326</v>
      </c>
      <c r="C118" s="40" t="s">
        <v>261</v>
      </c>
      <c r="E118" s="39"/>
      <c r="V118" s="39"/>
      <c r="X118" s="39"/>
      <c r="Z118" s="39"/>
      <c r="AB118" s="39" t="s">
        <v>272</v>
      </c>
      <c r="AD118" s="23" t="s">
        <v>31</v>
      </c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</row>
    <row r="119" spans="2:119" ht="25" customHeight="1" x14ac:dyDescent="0.3">
      <c r="B119" s="47" t="s">
        <v>327</v>
      </c>
      <c r="C119" s="40" t="s">
        <v>262</v>
      </c>
      <c r="E119" s="39"/>
      <c r="V119" s="39"/>
      <c r="X119" s="39"/>
      <c r="Z119" s="39"/>
      <c r="AB119" s="39" t="s">
        <v>272</v>
      </c>
      <c r="AD119" s="23" t="s">
        <v>31</v>
      </c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</row>
    <row r="120" spans="2:119" ht="25" customHeight="1" x14ac:dyDescent="0.3">
      <c r="B120" s="47" t="s">
        <v>328</v>
      </c>
      <c r="C120" s="40" t="s">
        <v>263</v>
      </c>
      <c r="E120" s="39"/>
      <c r="V120" s="39"/>
      <c r="X120" s="39"/>
      <c r="Z120" s="39"/>
      <c r="AB120" s="39" t="s">
        <v>272</v>
      </c>
      <c r="AD120" s="23" t="s">
        <v>31</v>
      </c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</row>
    <row r="121" spans="2:119" ht="25" customHeight="1" x14ac:dyDescent="0.3">
      <c r="B121" s="47" t="s">
        <v>329</v>
      </c>
      <c r="C121" s="40" t="s">
        <v>264</v>
      </c>
      <c r="E121" s="39"/>
      <c r="V121" s="39"/>
      <c r="X121" s="39"/>
      <c r="Z121" s="39"/>
      <c r="AB121" s="39" t="s">
        <v>272</v>
      </c>
      <c r="AD121" s="23" t="s">
        <v>31</v>
      </c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</row>
    <row r="122" spans="2:119" ht="25" customHeight="1" x14ac:dyDescent="0.3">
      <c r="B122" s="47" t="s">
        <v>330</v>
      </c>
      <c r="C122" s="40" t="s">
        <v>265</v>
      </c>
      <c r="E122" s="39"/>
      <c r="V122" s="39"/>
      <c r="X122" s="39"/>
      <c r="Z122" s="39"/>
      <c r="AB122" s="39" t="s">
        <v>272</v>
      </c>
      <c r="AD122" s="23" t="s">
        <v>31</v>
      </c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</row>
    <row r="123" spans="2:119" ht="25" customHeight="1" x14ac:dyDescent="0.3">
      <c r="B123" s="47" t="s">
        <v>331</v>
      </c>
      <c r="C123" s="40" t="s">
        <v>266</v>
      </c>
      <c r="E123" s="39"/>
      <c r="V123" s="39"/>
      <c r="X123" s="39"/>
      <c r="Z123" s="39"/>
      <c r="AB123" s="39" t="s">
        <v>272</v>
      </c>
      <c r="AD123" s="23" t="s">
        <v>31</v>
      </c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</row>
    <row r="124" spans="2:119" ht="25" customHeight="1" x14ac:dyDescent="0.3">
      <c r="B124" s="47" t="s">
        <v>332</v>
      </c>
      <c r="C124" s="40" t="s">
        <v>267</v>
      </c>
      <c r="E124" s="39"/>
      <c r="V124" s="39"/>
      <c r="X124" s="39"/>
      <c r="Z124" s="39"/>
      <c r="AB124" s="39" t="s">
        <v>272</v>
      </c>
      <c r="AD124" s="23" t="s">
        <v>31</v>
      </c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</row>
    <row r="125" spans="2:119" ht="25" customHeight="1" x14ac:dyDescent="0.3">
      <c r="B125" s="47" t="s">
        <v>333</v>
      </c>
      <c r="C125" s="40" t="s">
        <v>257</v>
      </c>
      <c r="E125" s="39"/>
      <c r="V125" s="39"/>
      <c r="X125" s="39"/>
      <c r="Z125" s="39"/>
      <c r="AB125" s="39" t="s">
        <v>273</v>
      </c>
      <c r="AD125" s="23" t="s">
        <v>31</v>
      </c>
      <c r="AF125" s="7"/>
      <c r="AG125" s="5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</row>
    <row r="126" spans="2:119" ht="25" customHeight="1" x14ac:dyDescent="0.3">
      <c r="B126" s="47" t="s">
        <v>334</v>
      </c>
      <c r="C126" s="40" t="s">
        <v>258</v>
      </c>
      <c r="E126" s="39"/>
      <c r="V126" s="39"/>
      <c r="X126" s="39"/>
      <c r="Z126" s="39"/>
      <c r="AB126" s="39" t="s">
        <v>273</v>
      </c>
      <c r="AD126" s="23" t="s">
        <v>31</v>
      </c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</row>
    <row r="127" spans="2:119" ht="25" customHeight="1" x14ac:dyDescent="0.3">
      <c r="B127" s="47" t="s">
        <v>335</v>
      </c>
      <c r="C127" s="40" t="s">
        <v>259</v>
      </c>
      <c r="E127" s="39"/>
      <c r="V127" s="39"/>
      <c r="X127" s="39"/>
      <c r="Z127" s="39"/>
      <c r="AB127" s="39" t="s">
        <v>273</v>
      </c>
      <c r="AD127" s="23" t="s">
        <v>31</v>
      </c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</row>
    <row r="128" spans="2:119" ht="25" customHeight="1" x14ac:dyDescent="0.3">
      <c r="B128" s="47" t="s">
        <v>336</v>
      </c>
      <c r="C128" s="40" t="s">
        <v>268</v>
      </c>
      <c r="E128" s="39"/>
      <c r="V128" s="39"/>
      <c r="X128" s="39"/>
      <c r="Z128" s="39"/>
      <c r="AB128" s="39" t="s">
        <v>274</v>
      </c>
      <c r="AD128" s="23" t="s">
        <v>31</v>
      </c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</row>
    <row r="129" spans="2:119" ht="25" customHeight="1" x14ac:dyDescent="0.3">
      <c r="B129" s="47" t="s">
        <v>337</v>
      </c>
      <c r="C129" s="40" t="s">
        <v>269</v>
      </c>
      <c r="E129" s="39"/>
      <c r="V129" s="39"/>
      <c r="X129" s="39"/>
      <c r="Z129" s="39"/>
      <c r="AB129" s="39" t="s">
        <v>274</v>
      </c>
      <c r="AD129" s="23" t="s">
        <v>31</v>
      </c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</row>
    <row r="130" spans="2:119" ht="25" customHeight="1" x14ac:dyDescent="0.3">
      <c r="B130" s="47" t="s">
        <v>338</v>
      </c>
      <c r="C130" s="40" t="s">
        <v>270</v>
      </c>
      <c r="E130" s="39"/>
      <c r="V130" s="39"/>
      <c r="X130" s="39"/>
      <c r="Z130" s="39"/>
      <c r="AB130" s="39" t="s">
        <v>274</v>
      </c>
      <c r="AD130" s="23" t="s">
        <v>31</v>
      </c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</row>
    <row r="131" spans="2:119" ht="25" customHeight="1" x14ac:dyDescent="0.3">
      <c r="B131" s="47" t="s">
        <v>339</v>
      </c>
      <c r="C131" s="40" t="s">
        <v>271</v>
      </c>
      <c r="E131" s="39"/>
      <c r="V131" s="39"/>
      <c r="X131" s="39"/>
      <c r="Z131" s="39"/>
      <c r="AB131" s="39" t="s">
        <v>274</v>
      </c>
      <c r="AD131" s="23" t="s">
        <v>31</v>
      </c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</row>
    <row r="132" spans="2:119" ht="25" customHeight="1" x14ac:dyDescent="0.3">
      <c r="B132" s="47" t="s">
        <v>340</v>
      </c>
      <c r="C132" s="40" t="s">
        <v>368</v>
      </c>
      <c r="E132" s="39"/>
      <c r="V132" s="39"/>
      <c r="X132" s="39"/>
      <c r="Z132" s="39"/>
      <c r="AB132" s="39"/>
      <c r="AD132" s="23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</row>
    <row r="133" spans="2:119" ht="25" customHeight="1" x14ac:dyDescent="0.3">
      <c r="B133" s="47" t="s">
        <v>341</v>
      </c>
      <c r="C133" s="40" t="s">
        <v>296</v>
      </c>
      <c r="E133" s="39">
        <v>1</v>
      </c>
      <c r="V133" s="39"/>
      <c r="X133" s="39"/>
      <c r="Z133" s="39"/>
      <c r="AB133" s="39" t="s">
        <v>361</v>
      </c>
      <c r="AD133" s="23" t="s">
        <v>31</v>
      </c>
      <c r="AF133" s="7"/>
      <c r="AG133" s="5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</row>
    <row r="134" spans="2:119" ht="25" customHeight="1" x14ac:dyDescent="0.3">
      <c r="B134" s="47" t="s">
        <v>342</v>
      </c>
      <c r="C134" s="40" t="s">
        <v>297</v>
      </c>
      <c r="E134" s="39">
        <v>1</v>
      </c>
      <c r="V134" s="39"/>
      <c r="X134" s="39"/>
      <c r="Z134" s="39"/>
      <c r="AB134" s="39" t="s">
        <v>361</v>
      </c>
      <c r="AD134" s="23" t="s">
        <v>31</v>
      </c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</row>
    <row r="135" spans="2:119" ht="25" customHeight="1" x14ac:dyDescent="0.3">
      <c r="B135" s="47" t="s">
        <v>343</v>
      </c>
      <c r="C135" s="40" t="s">
        <v>299</v>
      </c>
      <c r="E135" s="39">
        <v>1</v>
      </c>
      <c r="V135" s="39"/>
      <c r="X135" s="39"/>
      <c r="Z135" s="39"/>
      <c r="AB135" s="39" t="s">
        <v>361</v>
      </c>
      <c r="AD135" s="23" t="s">
        <v>31</v>
      </c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</row>
    <row r="136" spans="2:119" ht="25" customHeight="1" x14ac:dyDescent="0.3">
      <c r="B136" s="47" t="s">
        <v>344</v>
      </c>
      <c r="C136" s="40" t="s">
        <v>300</v>
      </c>
      <c r="E136" s="39">
        <v>1</v>
      </c>
      <c r="V136" s="39"/>
      <c r="X136" s="39"/>
      <c r="Z136" s="39"/>
      <c r="AB136" s="39" t="s">
        <v>301</v>
      </c>
      <c r="AD136" s="23" t="s">
        <v>31</v>
      </c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</row>
    <row r="137" spans="2:119" ht="25" customHeight="1" x14ac:dyDescent="0.3">
      <c r="B137" s="47" t="s">
        <v>345</v>
      </c>
      <c r="C137" s="40" t="s">
        <v>302</v>
      </c>
      <c r="E137" s="39">
        <v>1</v>
      </c>
      <c r="V137" s="39"/>
      <c r="X137" s="39"/>
      <c r="Z137" s="39"/>
      <c r="AB137" s="39" t="s">
        <v>303</v>
      </c>
      <c r="AD137" s="23" t="s">
        <v>31</v>
      </c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</row>
    <row r="138" spans="2:119" ht="25" customHeight="1" x14ac:dyDescent="0.3">
      <c r="B138" s="47" t="s">
        <v>346</v>
      </c>
      <c r="C138" s="40" t="s">
        <v>305</v>
      </c>
      <c r="E138" s="39">
        <v>1</v>
      </c>
      <c r="V138" s="39"/>
      <c r="X138" s="39"/>
      <c r="Z138" s="39"/>
      <c r="AB138" s="39" t="s">
        <v>361</v>
      </c>
      <c r="AD138" s="23" t="s">
        <v>31</v>
      </c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</row>
    <row r="139" spans="2:119" ht="25" customHeight="1" x14ac:dyDescent="0.3">
      <c r="B139" s="47" t="s">
        <v>347</v>
      </c>
      <c r="C139" s="40" t="s">
        <v>304</v>
      </c>
      <c r="E139" s="39">
        <v>1</v>
      </c>
      <c r="V139" s="39"/>
      <c r="X139" s="39"/>
      <c r="Z139" s="39"/>
      <c r="AB139" s="39" t="s">
        <v>361</v>
      </c>
      <c r="AD139" s="23" t="s">
        <v>31</v>
      </c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</row>
    <row r="140" spans="2:119" ht="25" customHeight="1" x14ac:dyDescent="0.3">
      <c r="B140" s="47" t="s">
        <v>348</v>
      </c>
      <c r="C140" s="40" t="s">
        <v>306</v>
      </c>
      <c r="E140" s="39">
        <v>1</v>
      </c>
      <c r="V140" s="39"/>
      <c r="X140" s="39"/>
      <c r="Z140" s="39"/>
      <c r="AB140" s="39" t="s">
        <v>361</v>
      </c>
      <c r="AD140" s="23" t="s">
        <v>31</v>
      </c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</row>
    <row r="141" spans="2:119" ht="25" customHeight="1" x14ac:dyDescent="0.3">
      <c r="B141" s="47" t="s">
        <v>349</v>
      </c>
      <c r="C141" s="40" t="s">
        <v>307</v>
      </c>
      <c r="E141" s="39">
        <v>1</v>
      </c>
      <c r="V141" s="39"/>
      <c r="X141" s="39"/>
      <c r="Z141" s="39"/>
      <c r="AB141" s="39" t="s">
        <v>361</v>
      </c>
      <c r="AD141" s="23" t="s">
        <v>31</v>
      </c>
      <c r="AF141" s="7"/>
      <c r="AG141" s="5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</row>
    <row r="142" spans="2:119" ht="25" customHeight="1" x14ac:dyDescent="0.3">
      <c r="B142" s="47" t="s">
        <v>350</v>
      </c>
      <c r="C142" s="40" t="s">
        <v>308</v>
      </c>
      <c r="E142" s="39">
        <v>1</v>
      </c>
      <c r="V142" s="39"/>
      <c r="X142" s="39"/>
      <c r="Z142" s="39"/>
      <c r="AB142" s="39" t="s">
        <v>301</v>
      </c>
      <c r="AD142" s="23" t="s">
        <v>31</v>
      </c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</row>
    <row r="143" spans="2:119" ht="25" customHeight="1" x14ac:dyDescent="0.3">
      <c r="B143" s="47" t="s">
        <v>351</v>
      </c>
      <c r="C143" s="40" t="s">
        <v>309</v>
      </c>
      <c r="E143" s="39">
        <v>1</v>
      </c>
      <c r="V143" s="39"/>
      <c r="X143" s="39"/>
      <c r="Z143" s="39"/>
      <c r="AB143" s="39" t="s">
        <v>303</v>
      </c>
      <c r="AD143" s="23" t="s">
        <v>31</v>
      </c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</row>
    <row r="144" spans="2:119" ht="25" customHeight="1" x14ac:dyDescent="0.3">
      <c r="B144" s="47" t="s">
        <v>352</v>
      </c>
      <c r="C144" s="40" t="s">
        <v>310</v>
      </c>
      <c r="E144" s="39">
        <v>1</v>
      </c>
      <c r="V144" s="39"/>
      <c r="X144" s="39"/>
      <c r="Z144" s="39"/>
      <c r="AB144" s="39" t="s">
        <v>361</v>
      </c>
      <c r="AD144" s="23" t="s">
        <v>31</v>
      </c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</row>
    <row r="145" spans="2:119" ht="25" customHeight="1" x14ac:dyDescent="0.3">
      <c r="B145" s="47" t="s">
        <v>353</v>
      </c>
      <c r="C145" s="40" t="s">
        <v>311</v>
      </c>
      <c r="E145" s="39">
        <v>1</v>
      </c>
      <c r="V145" s="39"/>
      <c r="X145" s="39"/>
      <c r="Z145" s="39"/>
      <c r="AB145" s="39" t="s">
        <v>361</v>
      </c>
      <c r="AD145" s="23" t="s">
        <v>31</v>
      </c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</row>
    <row r="146" spans="2:119" ht="25" customHeight="1" x14ac:dyDescent="0.3">
      <c r="B146" s="47" t="s">
        <v>354</v>
      </c>
      <c r="C146" s="40" t="s">
        <v>312</v>
      </c>
      <c r="E146" s="39">
        <v>2</v>
      </c>
      <c r="V146" s="39"/>
      <c r="X146" s="39"/>
      <c r="Z146" s="39"/>
      <c r="AB146" s="39" t="s">
        <v>361</v>
      </c>
      <c r="AD146" s="23" t="s">
        <v>31</v>
      </c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</row>
    <row r="147" spans="2:119" ht="25" customHeight="1" x14ac:dyDescent="0.3">
      <c r="B147" s="47" t="s">
        <v>355</v>
      </c>
      <c r="C147" s="40" t="s">
        <v>313</v>
      </c>
      <c r="E147" s="39">
        <v>3</v>
      </c>
      <c r="V147" s="39"/>
      <c r="X147" s="39"/>
      <c r="Z147" s="39"/>
      <c r="AB147" s="39" t="s">
        <v>357</v>
      </c>
      <c r="AD147" s="23" t="s">
        <v>31</v>
      </c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</row>
    <row r="148" spans="2:119" ht="25" customHeight="1" x14ac:dyDescent="0.3">
      <c r="B148" s="47" t="s">
        <v>356</v>
      </c>
      <c r="C148" s="40" t="s">
        <v>314</v>
      </c>
      <c r="E148" s="39">
        <v>1</v>
      </c>
      <c r="V148" s="39"/>
      <c r="X148" s="39"/>
      <c r="Z148" s="39"/>
      <c r="AB148" s="39" t="s">
        <v>301</v>
      </c>
      <c r="AD148" s="23" t="s">
        <v>31</v>
      </c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</row>
    <row r="149" spans="2:119" ht="25" customHeight="1" x14ac:dyDescent="0.3">
      <c r="B149" s="47" t="s">
        <v>369</v>
      </c>
      <c r="C149" s="41" t="s">
        <v>315</v>
      </c>
      <c r="E149" s="39"/>
      <c r="V149" s="39"/>
      <c r="X149" s="39"/>
      <c r="Z149" s="39"/>
      <c r="AB149" s="39"/>
      <c r="AD149" s="23" t="s">
        <v>31</v>
      </c>
      <c r="AF149" s="7"/>
      <c r="AG149" s="5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</row>
    <row r="150" spans="2:119" ht="25" customHeight="1" x14ac:dyDescent="0.3">
      <c r="B150" s="46">
        <v>1.4</v>
      </c>
      <c r="C150" s="38" t="s">
        <v>358</v>
      </c>
      <c r="E150" s="39"/>
      <c r="V150" s="39"/>
      <c r="X150" s="39"/>
      <c r="Z150" s="39"/>
      <c r="AB150" s="39"/>
      <c r="AD150" s="23" t="s">
        <v>31</v>
      </c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</row>
    <row r="151" spans="2:119" ht="25" customHeight="1" x14ac:dyDescent="0.3">
      <c r="B151" s="46" t="s">
        <v>234</v>
      </c>
      <c r="C151" s="37" t="s">
        <v>359</v>
      </c>
      <c r="E151" s="39"/>
      <c r="V151" s="39"/>
      <c r="X151" s="39"/>
      <c r="Z151" s="39"/>
      <c r="AB151" s="39"/>
      <c r="AD151" s="23" t="s">
        <v>31</v>
      </c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</row>
    <row r="152" spans="2:119" ht="25" customHeight="1" x14ac:dyDescent="0.3">
      <c r="B152" s="47" t="s">
        <v>252</v>
      </c>
      <c r="C152" s="40" t="s">
        <v>365</v>
      </c>
      <c r="E152" s="39"/>
      <c r="V152" s="39"/>
      <c r="X152" s="39"/>
      <c r="Z152" s="39"/>
      <c r="AB152" s="39"/>
      <c r="AD152" s="23" t="s">
        <v>31</v>
      </c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</row>
    <row r="153" spans="2:119" ht="25" customHeight="1" x14ac:dyDescent="0.3">
      <c r="B153" s="47" t="s">
        <v>275</v>
      </c>
      <c r="C153" s="40" t="s">
        <v>384</v>
      </c>
      <c r="E153" s="39"/>
      <c r="V153" s="39"/>
      <c r="X153" s="39"/>
      <c r="Z153" s="39"/>
      <c r="AB153" s="39" t="s">
        <v>361</v>
      </c>
      <c r="AD153" s="23" t="s">
        <v>31</v>
      </c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</row>
    <row r="154" spans="2:119" ht="25" customHeight="1" x14ac:dyDescent="0.3">
      <c r="B154" s="47" t="s">
        <v>276</v>
      </c>
      <c r="C154" s="40" t="s">
        <v>385</v>
      </c>
      <c r="E154" s="39"/>
      <c r="V154" s="39"/>
      <c r="X154" s="39"/>
      <c r="Z154" s="39"/>
      <c r="AB154" s="39" t="s">
        <v>382</v>
      </c>
      <c r="AD154" s="23" t="s">
        <v>31</v>
      </c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</row>
    <row r="155" spans="2:119" ht="25" customHeight="1" x14ac:dyDescent="0.3">
      <c r="B155" s="47" t="s">
        <v>277</v>
      </c>
      <c r="C155" s="40" t="s">
        <v>386</v>
      </c>
      <c r="E155" s="39"/>
      <c r="V155" s="39"/>
      <c r="X155" s="39"/>
      <c r="Z155" s="39"/>
      <c r="AB155" s="39" t="s">
        <v>383</v>
      </c>
      <c r="AD155" s="23" t="s">
        <v>31</v>
      </c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</row>
    <row r="156" spans="2:119" ht="25" customHeight="1" x14ac:dyDescent="0.3">
      <c r="B156" s="47" t="s">
        <v>278</v>
      </c>
      <c r="C156" s="40" t="s">
        <v>391</v>
      </c>
      <c r="E156" s="39"/>
      <c r="V156" s="39"/>
      <c r="X156" s="39"/>
      <c r="Z156" s="39"/>
      <c r="AB156" s="39" t="s">
        <v>361</v>
      </c>
      <c r="AD156" s="23" t="s">
        <v>31</v>
      </c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</row>
    <row r="157" spans="2:119" ht="25" customHeight="1" x14ac:dyDescent="0.3">
      <c r="B157" s="47" t="s">
        <v>279</v>
      </c>
      <c r="C157" s="40" t="s">
        <v>392</v>
      </c>
      <c r="E157" s="39"/>
      <c r="V157" s="39"/>
      <c r="X157" s="39"/>
      <c r="Z157" s="39"/>
      <c r="AB157" s="39" t="s">
        <v>361</v>
      </c>
      <c r="AD157" s="23" t="s">
        <v>31</v>
      </c>
      <c r="AF157" s="7"/>
      <c r="AG157" s="5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</row>
    <row r="158" spans="2:119" ht="25" customHeight="1" x14ac:dyDescent="0.3">
      <c r="B158" s="47" t="s">
        <v>280</v>
      </c>
      <c r="C158" s="40" t="s">
        <v>387</v>
      </c>
      <c r="E158" s="39">
        <v>7</v>
      </c>
      <c r="V158" s="39"/>
      <c r="X158" s="39"/>
      <c r="Z158" s="39"/>
      <c r="AB158" s="39" t="s">
        <v>383</v>
      </c>
      <c r="AD158" s="23" t="s">
        <v>31</v>
      </c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</row>
    <row r="159" spans="2:119" ht="25" customHeight="1" x14ac:dyDescent="0.3">
      <c r="B159" s="47" t="s">
        <v>281</v>
      </c>
      <c r="C159" s="40" t="s">
        <v>370</v>
      </c>
      <c r="E159" s="39"/>
      <c r="V159" s="39"/>
      <c r="X159" s="39"/>
      <c r="Z159" s="39"/>
      <c r="AB159" s="39" t="s">
        <v>272</v>
      </c>
      <c r="AD159" s="23" t="s">
        <v>31</v>
      </c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</row>
    <row r="160" spans="2:119" ht="25" customHeight="1" x14ac:dyDescent="0.3">
      <c r="B160" s="47" t="s">
        <v>282</v>
      </c>
      <c r="C160" s="40" t="s">
        <v>371</v>
      </c>
      <c r="E160" s="39"/>
      <c r="V160" s="39"/>
      <c r="X160" s="39"/>
      <c r="Z160" s="39"/>
      <c r="AB160" s="39" t="s">
        <v>377</v>
      </c>
      <c r="AD160" s="23" t="s">
        <v>31</v>
      </c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</row>
    <row r="161" spans="2:119" ht="25" customHeight="1" x14ac:dyDescent="0.3">
      <c r="B161" s="47" t="s">
        <v>283</v>
      </c>
      <c r="C161" s="40" t="s">
        <v>372</v>
      </c>
      <c r="E161" s="39"/>
      <c r="V161" s="39"/>
      <c r="X161" s="39"/>
      <c r="Z161" s="39"/>
      <c r="AB161" s="39" t="s">
        <v>378</v>
      </c>
      <c r="AD161" s="23" t="s">
        <v>31</v>
      </c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</row>
    <row r="162" spans="2:119" ht="25" customHeight="1" x14ac:dyDescent="0.3">
      <c r="B162" s="47" t="s">
        <v>284</v>
      </c>
      <c r="C162" s="40" t="s">
        <v>373</v>
      </c>
      <c r="E162" s="39"/>
      <c r="V162" s="39"/>
      <c r="X162" s="39"/>
      <c r="Z162" s="39"/>
      <c r="AB162" s="39" t="s">
        <v>378</v>
      </c>
      <c r="AD162" s="23" t="s">
        <v>31</v>
      </c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</row>
    <row r="163" spans="2:119" ht="25" customHeight="1" x14ac:dyDescent="0.3">
      <c r="B163" s="47" t="s">
        <v>285</v>
      </c>
      <c r="C163" s="40" t="s">
        <v>374</v>
      </c>
      <c r="E163" s="39"/>
      <c r="V163" s="39"/>
      <c r="X163" s="39"/>
      <c r="Z163" s="39"/>
      <c r="AB163" s="39" t="s">
        <v>379</v>
      </c>
      <c r="AD163" s="23" t="s">
        <v>31</v>
      </c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</row>
    <row r="164" spans="2:119" ht="25" customHeight="1" x14ac:dyDescent="0.3">
      <c r="B164" s="47" t="s">
        <v>286</v>
      </c>
      <c r="C164" s="40" t="s">
        <v>375</v>
      </c>
      <c r="E164" s="39"/>
      <c r="V164" s="39"/>
      <c r="X164" s="39"/>
      <c r="Z164" s="39"/>
      <c r="AB164" s="39" t="s">
        <v>379</v>
      </c>
      <c r="AD164" s="23" t="s">
        <v>31</v>
      </c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</row>
    <row r="165" spans="2:119" ht="25" customHeight="1" x14ac:dyDescent="0.3">
      <c r="B165" s="47" t="s">
        <v>287</v>
      </c>
      <c r="C165" s="40" t="s">
        <v>376</v>
      </c>
      <c r="E165" s="39"/>
      <c r="V165" s="39"/>
      <c r="X165" s="39"/>
      <c r="Z165" s="39"/>
      <c r="AB165" s="39" t="s">
        <v>380</v>
      </c>
      <c r="AD165" s="23" t="s">
        <v>31</v>
      </c>
      <c r="AF165" s="7"/>
      <c r="AG165" s="5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</row>
    <row r="166" spans="2:119" ht="25" customHeight="1" x14ac:dyDescent="0.3">
      <c r="B166" s="47" t="s">
        <v>288</v>
      </c>
      <c r="C166" s="40" t="s">
        <v>393</v>
      </c>
      <c r="E166" s="39"/>
      <c r="V166" s="39"/>
      <c r="X166" s="39"/>
      <c r="Z166" s="39"/>
      <c r="AB166" s="39"/>
      <c r="AD166" s="23" t="s">
        <v>31</v>
      </c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</row>
    <row r="167" spans="2:119" ht="25" customHeight="1" x14ac:dyDescent="0.3">
      <c r="B167" s="47" t="s">
        <v>289</v>
      </c>
      <c r="C167" s="40" t="s">
        <v>366</v>
      </c>
      <c r="E167" s="39"/>
      <c r="V167" s="39"/>
      <c r="X167" s="39"/>
      <c r="Z167" s="39"/>
      <c r="AB167" s="39" t="s">
        <v>361</v>
      </c>
      <c r="AD167" s="23" t="s">
        <v>31</v>
      </c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</row>
    <row r="168" spans="2:119" ht="25" customHeight="1" x14ac:dyDescent="0.3">
      <c r="B168" s="47" t="s">
        <v>290</v>
      </c>
      <c r="C168" s="40" t="s">
        <v>367</v>
      </c>
      <c r="E168" s="39"/>
      <c r="V168" s="39"/>
      <c r="X168" s="39"/>
      <c r="Z168" s="39"/>
      <c r="AB168" s="39" t="s">
        <v>361</v>
      </c>
      <c r="AD168" s="23" t="s">
        <v>31</v>
      </c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</row>
    <row r="169" spans="2:119" ht="25" customHeight="1" x14ac:dyDescent="0.3">
      <c r="B169" s="47" t="s">
        <v>291</v>
      </c>
      <c r="C169" s="40" t="s">
        <v>360</v>
      </c>
      <c r="E169" s="39">
        <v>1</v>
      </c>
      <c r="V169" s="39"/>
      <c r="X169" s="39"/>
      <c r="Z169" s="39"/>
      <c r="AB169" s="39" t="s">
        <v>361</v>
      </c>
      <c r="AD169" s="23" t="s">
        <v>31</v>
      </c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</row>
    <row r="170" spans="2:119" ht="25" customHeight="1" x14ac:dyDescent="0.3">
      <c r="B170" s="47" t="s">
        <v>292</v>
      </c>
      <c r="C170" s="40" t="s">
        <v>362</v>
      </c>
      <c r="E170" s="39"/>
      <c r="V170" s="39"/>
      <c r="X170" s="39"/>
      <c r="Z170" s="39"/>
      <c r="AB170" s="39" t="s">
        <v>357</v>
      </c>
      <c r="AD170" s="23" t="s">
        <v>31</v>
      </c>
      <c r="AF170" s="7"/>
      <c r="AG170" s="5"/>
      <c r="AH170" s="5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</row>
    <row r="171" spans="2:119" ht="25" customHeight="1" x14ac:dyDescent="0.3">
      <c r="B171" s="47" t="s">
        <v>293</v>
      </c>
      <c r="C171" s="40" t="s">
        <v>363</v>
      </c>
      <c r="E171" s="39"/>
      <c r="V171" s="39"/>
      <c r="X171" s="39"/>
      <c r="Z171" s="39"/>
      <c r="AB171" s="39" t="s">
        <v>361</v>
      </c>
      <c r="AD171" s="23" t="s">
        <v>31</v>
      </c>
      <c r="AF171" s="7"/>
      <c r="AG171" s="5"/>
      <c r="AH171" s="5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</row>
    <row r="172" spans="2:119" ht="25" customHeight="1" x14ac:dyDescent="0.3">
      <c r="B172" s="47" t="s">
        <v>294</v>
      </c>
      <c r="C172" s="40" t="s">
        <v>364</v>
      </c>
      <c r="E172" s="39"/>
      <c r="V172" s="39"/>
      <c r="X172" s="39"/>
      <c r="Z172" s="39"/>
      <c r="AB172" s="39" t="s">
        <v>361</v>
      </c>
      <c r="AD172" s="23" t="s">
        <v>31</v>
      </c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</row>
    <row r="173" spans="2:119" ht="25" customHeight="1" x14ac:dyDescent="0.3">
      <c r="B173" s="47" t="s">
        <v>295</v>
      </c>
      <c r="C173" s="40" t="s">
        <v>381</v>
      </c>
      <c r="E173" s="39"/>
      <c r="V173" s="39"/>
      <c r="X173" s="39"/>
      <c r="Z173" s="39"/>
      <c r="AB173" s="39" t="s">
        <v>361</v>
      </c>
      <c r="AD173" s="23" t="s">
        <v>31</v>
      </c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</row>
    <row r="174" spans="2:119" ht="25" customHeight="1" x14ac:dyDescent="0.3">
      <c r="B174" s="47" t="s">
        <v>316</v>
      </c>
      <c r="C174" s="41" t="s">
        <v>388</v>
      </c>
      <c r="E174" s="39"/>
      <c r="V174" s="39"/>
      <c r="X174" s="39"/>
      <c r="Z174" s="39"/>
      <c r="AB174" s="39" t="s">
        <v>361</v>
      </c>
      <c r="AD174" s="23" t="s">
        <v>31</v>
      </c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</row>
    <row r="175" spans="2:119" ht="25" customHeight="1" x14ac:dyDescent="0.3">
      <c r="B175" s="46" t="s">
        <v>389</v>
      </c>
      <c r="C175" s="37" t="s">
        <v>390</v>
      </c>
      <c r="E175" s="39"/>
      <c r="V175" s="39"/>
      <c r="X175" s="39"/>
      <c r="Z175" s="39"/>
      <c r="AB175" s="39"/>
      <c r="AD175" s="23" t="s">
        <v>31</v>
      </c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</row>
    <row r="176" spans="2:119" ht="25" customHeight="1" x14ac:dyDescent="0.3">
      <c r="B176" s="47" t="s">
        <v>394</v>
      </c>
      <c r="C176" s="40" t="s">
        <v>397</v>
      </c>
      <c r="E176" s="39"/>
      <c r="V176" s="39"/>
      <c r="X176" s="39"/>
      <c r="Z176" s="39"/>
      <c r="AB176" s="39" t="s">
        <v>361</v>
      </c>
      <c r="AD176" s="23" t="s">
        <v>31</v>
      </c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</row>
    <row r="177" spans="2:119" ht="25" customHeight="1" x14ac:dyDescent="0.3">
      <c r="B177" s="47" t="s">
        <v>275</v>
      </c>
      <c r="C177" s="40" t="s">
        <v>396</v>
      </c>
      <c r="E177" s="39"/>
      <c r="V177" s="39"/>
      <c r="X177" s="39"/>
      <c r="Z177" s="39"/>
      <c r="AB177" s="39" t="s">
        <v>361</v>
      </c>
      <c r="AD177" s="23" t="s">
        <v>31</v>
      </c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</row>
    <row r="178" spans="2:119" ht="25" customHeight="1" thickBot="1" x14ac:dyDescent="0.35">
      <c r="B178" s="47" t="s">
        <v>276</v>
      </c>
      <c r="C178" s="40" t="s">
        <v>395</v>
      </c>
      <c r="E178" s="39"/>
      <c r="V178" s="39"/>
      <c r="X178" s="39"/>
      <c r="Z178" s="39"/>
      <c r="AB178" s="39" t="s">
        <v>361</v>
      </c>
      <c r="AD178" s="23" t="s">
        <v>31</v>
      </c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</row>
    <row r="179" spans="2:119" ht="25" customHeight="1" thickBot="1" x14ac:dyDescent="0.35">
      <c r="B179" s="47" t="s">
        <v>277</v>
      </c>
      <c r="C179" s="41" t="s">
        <v>398</v>
      </c>
      <c r="E179" s="39"/>
      <c r="V179" s="39"/>
      <c r="X179" s="39"/>
      <c r="Z179" s="39"/>
      <c r="AB179" s="39" t="s">
        <v>361</v>
      </c>
      <c r="AD179" s="23" t="s">
        <v>31</v>
      </c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</row>
    <row r="189" spans="2:119" x14ac:dyDescent="0.3">
      <c r="AH189" s="22" t="s">
        <v>29</v>
      </c>
      <c r="AI189" s="22"/>
    </row>
    <row r="190" spans="2:119" x14ac:dyDescent="0.3">
      <c r="AH190" s="24" t="s">
        <v>30</v>
      </c>
      <c r="AI190" s="24"/>
    </row>
    <row r="191" spans="2:119" x14ac:dyDescent="0.3">
      <c r="AH191" s="23" t="s">
        <v>31</v>
      </c>
      <c r="AI191" s="23"/>
    </row>
  </sheetData>
  <autoFilter ref="A4:DO179" xr:uid="{6D9911E5-DFDA-8949-A121-D2DE9EC379C6}"/>
  <mergeCells count="1">
    <mergeCell ref="B2:BP2"/>
  </mergeCells>
  <phoneticPr fontId="7" type="noConversion"/>
  <pageMargins left="0.15748031496062992" right="0.15748031496062992" top="0.74803149606299213" bottom="0.74803149606299213" header="0.31496062992125984" footer="0.31496062992125984"/>
  <pageSetup paperSize="9" scale="45"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31D7-0DCF-0745-B15C-E79C15126ADE}">
  <sheetPr>
    <tabColor rgb="FF002060"/>
    <pageSetUpPr fitToPage="1"/>
  </sheetPr>
  <dimension ref="A1:AQ1048575"/>
  <sheetViews>
    <sheetView zoomScale="140" zoomScaleNormal="140" workbookViewId="0">
      <pane xSplit="5" ySplit="10" topLeftCell="F11" activePane="bottomRight" state="frozen"/>
      <selection pane="topRight" activeCell="E1" sqref="E1"/>
      <selection pane="bottomLeft" activeCell="A4" sqref="A4"/>
      <selection pane="bottomRight" activeCell="I28" sqref="I28"/>
    </sheetView>
  </sheetViews>
  <sheetFormatPr baseColWidth="10" defaultColWidth="10.81640625" defaultRowHeight="13" x14ac:dyDescent="0.25"/>
  <cols>
    <col min="1" max="1" width="1" style="256" customWidth="1"/>
    <col min="2" max="2" width="3.36328125" style="257" bestFit="1" customWidth="1"/>
    <col min="3" max="3" width="6.1796875" style="257" customWidth="1"/>
    <col min="4" max="4" width="10.81640625" style="257" hidden="1" customWidth="1"/>
    <col min="5" max="5" width="28.36328125" style="258" customWidth="1"/>
    <col min="6" max="6" width="8.1796875" style="257" customWidth="1"/>
    <col min="7" max="7" width="9.36328125" style="257" customWidth="1"/>
    <col min="8" max="8" width="13" style="257" customWidth="1"/>
    <col min="9" max="9" width="20.81640625" style="257" customWidth="1"/>
    <col min="10" max="10" width="11.81640625" style="257" bestFit="1" customWidth="1"/>
    <col min="11" max="11" width="5.6328125" style="259" customWidth="1"/>
    <col min="12" max="12" width="18.81640625" style="260" customWidth="1"/>
    <col min="13" max="24" width="6.453125" style="281" customWidth="1"/>
    <col min="25" max="43" width="5.81640625" style="256" customWidth="1"/>
    <col min="44" max="16384" width="10.81640625" style="256"/>
  </cols>
  <sheetData>
    <row r="1" spans="1:43" s="1" customFormat="1" ht="14" x14ac:dyDescent="0.3">
      <c r="A1" s="254"/>
      <c r="C1" s="19"/>
      <c r="D1" s="19"/>
      <c r="F1" s="19"/>
      <c r="K1" s="255"/>
    </row>
    <row r="2" spans="1:43" s="1" customFormat="1" ht="22" customHeight="1" x14ac:dyDescent="0.3">
      <c r="A2" s="254"/>
      <c r="B2" s="301" t="s">
        <v>665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</row>
    <row r="3" spans="1:43" s="1" customFormat="1" ht="15" customHeight="1" x14ac:dyDescent="0.3">
      <c r="A3" s="254"/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</row>
    <row r="4" spans="1:43" s="1" customFormat="1" ht="15" customHeight="1" x14ac:dyDescent="0.3">
      <c r="A4" s="254"/>
      <c r="B4" s="302"/>
      <c r="C4" s="302"/>
      <c r="D4" s="302"/>
      <c r="E4" s="302"/>
      <c r="F4" s="302"/>
      <c r="G4" s="302"/>
      <c r="H4" s="302"/>
      <c r="I4" s="302"/>
      <c r="J4" s="302"/>
      <c r="K4" s="302"/>
      <c r="L4" s="302"/>
      <c r="M4" s="302"/>
      <c r="N4" s="302"/>
      <c r="O4" s="302"/>
      <c r="P4" s="302"/>
      <c r="Q4" s="302"/>
      <c r="R4" s="302"/>
      <c r="S4" s="302"/>
      <c r="T4" s="302"/>
      <c r="U4" s="302"/>
      <c r="V4" s="302"/>
      <c r="W4" s="302"/>
      <c r="X4" s="302"/>
    </row>
    <row r="5" spans="1:43" s="1" customFormat="1" ht="15" customHeight="1" x14ac:dyDescent="0.3">
      <c r="A5" s="254"/>
      <c r="B5" s="302"/>
      <c r="C5" s="302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302"/>
      <c r="O5" s="302"/>
      <c r="P5" s="302"/>
      <c r="Q5" s="302"/>
      <c r="R5" s="302"/>
      <c r="S5" s="302"/>
      <c r="T5" s="302"/>
      <c r="U5" s="302"/>
      <c r="V5" s="302"/>
      <c r="W5" s="302"/>
      <c r="X5" s="302"/>
    </row>
    <row r="6" spans="1:43" s="1" customFormat="1" ht="11" customHeight="1" x14ac:dyDescent="0.3">
      <c r="A6" s="254"/>
      <c r="B6" s="303"/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R6" s="303"/>
      <c r="S6" s="303"/>
      <c r="T6" s="303"/>
      <c r="U6" s="303"/>
      <c r="V6" s="303"/>
      <c r="W6" s="303"/>
      <c r="X6" s="303"/>
    </row>
    <row r="7" spans="1:43" s="1" customFormat="1" ht="11" customHeight="1" x14ac:dyDescent="0.3">
      <c r="A7" s="254"/>
      <c r="B7" s="19"/>
      <c r="C7" s="19"/>
      <c r="D7" s="19"/>
      <c r="E7" s="19"/>
      <c r="F7" s="19"/>
      <c r="K7" s="255"/>
    </row>
    <row r="9" spans="1:43" x14ac:dyDescent="0.3">
      <c r="M9" s="304" t="s">
        <v>611</v>
      </c>
      <c r="N9" s="304"/>
      <c r="O9" s="304"/>
      <c r="P9" s="304"/>
      <c r="Q9" s="304" t="s">
        <v>612</v>
      </c>
      <c r="R9" s="304"/>
      <c r="S9" s="304"/>
      <c r="T9" s="304"/>
      <c r="U9" s="304" t="s">
        <v>613</v>
      </c>
      <c r="V9" s="304"/>
      <c r="W9" s="304"/>
      <c r="X9" s="304"/>
      <c r="Y9" s="305" t="s">
        <v>682</v>
      </c>
      <c r="Z9" s="306"/>
      <c r="AA9" s="306"/>
      <c r="AB9" s="306"/>
      <c r="AC9" s="307"/>
      <c r="AD9" s="305" t="s">
        <v>688</v>
      </c>
      <c r="AE9" s="306"/>
      <c r="AF9" s="306"/>
      <c r="AG9" s="306"/>
      <c r="AH9" s="300" t="s">
        <v>697</v>
      </c>
      <c r="AI9" s="300"/>
      <c r="AJ9" s="300"/>
      <c r="AK9" s="300"/>
      <c r="AL9" s="300" t="s">
        <v>705</v>
      </c>
      <c r="AM9" s="300"/>
      <c r="AN9" s="300"/>
      <c r="AO9" s="300"/>
      <c r="AP9" s="296" t="s">
        <v>706</v>
      </c>
      <c r="AQ9" s="296"/>
    </row>
    <row r="10" spans="1:43" s="261" customFormat="1" ht="31" customHeight="1" x14ac:dyDescent="0.35">
      <c r="B10" s="262" t="s">
        <v>614</v>
      </c>
      <c r="C10" s="262" t="s">
        <v>615</v>
      </c>
      <c r="D10" s="262" t="s">
        <v>638</v>
      </c>
      <c r="E10" s="263" t="s">
        <v>616</v>
      </c>
      <c r="F10" s="264" t="s">
        <v>617</v>
      </c>
      <c r="G10" s="262" t="s">
        <v>44</v>
      </c>
      <c r="H10" s="262" t="s">
        <v>45</v>
      </c>
      <c r="I10" s="262" t="s">
        <v>46</v>
      </c>
      <c r="J10" s="262" t="s">
        <v>298</v>
      </c>
      <c r="K10" s="265" t="s">
        <v>618</v>
      </c>
      <c r="L10" s="266" t="s">
        <v>8</v>
      </c>
      <c r="M10" s="262" t="s">
        <v>619</v>
      </c>
      <c r="N10" s="262" t="s">
        <v>620</v>
      </c>
      <c r="O10" s="262" t="s">
        <v>621</v>
      </c>
      <c r="P10" s="262" t="s">
        <v>622</v>
      </c>
      <c r="Q10" s="262" t="s">
        <v>623</v>
      </c>
      <c r="R10" s="262" t="s">
        <v>624</v>
      </c>
      <c r="S10" s="262" t="s">
        <v>625</v>
      </c>
      <c r="T10" s="262" t="s">
        <v>626</v>
      </c>
      <c r="U10" s="262" t="s">
        <v>627</v>
      </c>
      <c r="V10" s="262" t="s">
        <v>628</v>
      </c>
      <c r="W10" s="262" t="s">
        <v>629</v>
      </c>
      <c r="X10" s="262" t="s">
        <v>630</v>
      </c>
      <c r="Y10" s="262" t="s">
        <v>672</v>
      </c>
      <c r="Z10" s="262" t="s">
        <v>673</v>
      </c>
      <c r="AA10" s="262" t="s">
        <v>674</v>
      </c>
      <c r="AB10" s="262" t="s">
        <v>675</v>
      </c>
      <c r="AC10" s="262" t="s">
        <v>676</v>
      </c>
      <c r="AD10" s="262" t="s">
        <v>677</v>
      </c>
      <c r="AE10" s="262" t="s">
        <v>678</v>
      </c>
      <c r="AF10" s="262" t="s">
        <v>679</v>
      </c>
      <c r="AG10" s="262" t="s">
        <v>680</v>
      </c>
      <c r="AH10" s="262" t="s">
        <v>681</v>
      </c>
      <c r="AI10" s="262" t="s">
        <v>694</v>
      </c>
      <c r="AJ10" s="262" t="s">
        <v>695</v>
      </c>
      <c r="AK10" s="262" t="s">
        <v>696</v>
      </c>
      <c r="AL10" s="262" t="s">
        <v>699</v>
      </c>
      <c r="AM10" s="262" t="s">
        <v>700</v>
      </c>
      <c r="AN10" s="262" t="s">
        <v>701</v>
      </c>
      <c r="AO10" s="262" t="s">
        <v>702</v>
      </c>
      <c r="AP10" s="262" t="s">
        <v>703</v>
      </c>
      <c r="AQ10" s="262" t="s">
        <v>704</v>
      </c>
    </row>
    <row r="11" spans="1:43" ht="31" customHeight="1" x14ac:dyDescent="0.3">
      <c r="B11" s="267">
        <v>1</v>
      </c>
      <c r="C11" s="267" t="s">
        <v>611</v>
      </c>
      <c r="D11" s="267" t="s">
        <v>631</v>
      </c>
      <c r="E11" s="268" t="s">
        <v>639</v>
      </c>
      <c r="F11" s="292">
        <f t="shared" ref="F11:F46" si="0">(_xlfn.DAYS(H11,G11))+1</f>
        <v>14</v>
      </c>
      <c r="G11" s="269">
        <v>45782</v>
      </c>
      <c r="H11" s="269">
        <v>45795</v>
      </c>
      <c r="I11" s="267" t="s">
        <v>606</v>
      </c>
      <c r="J11" s="267" t="s">
        <v>632</v>
      </c>
      <c r="K11" s="270">
        <v>0.1</v>
      </c>
      <c r="L11" s="271"/>
      <c r="M11" s="274"/>
      <c r="N11" s="275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94"/>
      <c r="Z11" s="294"/>
      <c r="AA11" s="294"/>
      <c r="AB11" s="294"/>
      <c r="AC11" s="294"/>
      <c r="AD11" s="294"/>
      <c r="AE11" s="294"/>
      <c r="AF11" s="294"/>
      <c r="AG11" s="294"/>
      <c r="AH11" s="294"/>
      <c r="AI11" s="294"/>
      <c r="AJ11" s="294"/>
      <c r="AK11" s="294"/>
      <c r="AL11" s="294"/>
      <c r="AM11" s="294"/>
      <c r="AN11" s="294"/>
      <c r="AO11" s="294"/>
      <c r="AP11" s="294"/>
      <c r="AQ11" s="294"/>
    </row>
    <row r="12" spans="1:43" ht="31" customHeight="1" x14ac:dyDescent="0.3">
      <c r="B12" s="267">
        <v>2</v>
      </c>
      <c r="C12" s="267" t="s">
        <v>611</v>
      </c>
      <c r="D12" s="267" t="s">
        <v>633</v>
      </c>
      <c r="E12" s="268" t="s">
        <v>607</v>
      </c>
      <c r="F12" s="292">
        <f t="shared" si="0"/>
        <v>14</v>
      </c>
      <c r="G12" s="269">
        <v>45782</v>
      </c>
      <c r="H12" s="269">
        <v>45795</v>
      </c>
      <c r="I12" s="267" t="s">
        <v>606</v>
      </c>
      <c r="J12" s="267" t="s">
        <v>632</v>
      </c>
      <c r="K12" s="270">
        <v>0.1</v>
      </c>
      <c r="L12" s="271"/>
      <c r="M12" s="274"/>
      <c r="N12" s="275"/>
      <c r="O12" s="272"/>
      <c r="P12" s="272"/>
      <c r="Q12" s="272"/>
      <c r="R12" s="272"/>
      <c r="S12" s="272"/>
      <c r="T12" s="272"/>
      <c r="U12" s="272"/>
      <c r="V12" s="272"/>
      <c r="W12" s="272"/>
      <c r="X12" s="272"/>
      <c r="Y12" s="294"/>
      <c r="Z12" s="294"/>
      <c r="AA12" s="294"/>
      <c r="AB12" s="294"/>
      <c r="AC12" s="294"/>
      <c r="AD12" s="294"/>
      <c r="AE12" s="294"/>
      <c r="AF12" s="294"/>
      <c r="AG12" s="294"/>
      <c r="AH12" s="294"/>
      <c r="AI12" s="294"/>
      <c r="AJ12" s="294"/>
      <c r="AK12" s="294"/>
      <c r="AL12" s="294"/>
      <c r="AM12" s="294"/>
      <c r="AN12" s="294"/>
      <c r="AO12" s="294"/>
      <c r="AP12" s="294"/>
      <c r="AQ12" s="294"/>
    </row>
    <row r="13" spans="1:43" ht="31" customHeight="1" x14ac:dyDescent="0.3">
      <c r="B13" s="267">
        <v>3</v>
      </c>
      <c r="C13" s="267" t="s">
        <v>611</v>
      </c>
      <c r="D13" s="267" t="s">
        <v>631</v>
      </c>
      <c r="E13" s="268" t="s">
        <v>645</v>
      </c>
      <c r="F13" s="292">
        <f t="shared" si="0"/>
        <v>19</v>
      </c>
      <c r="G13" s="269">
        <v>45782</v>
      </c>
      <c r="H13" s="269">
        <v>45800</v>
      </c>
      <c r="I13" s="267" t="s">
        <v>647</v>
      </c>
      <c r="J13" s="267" t="s">
        <v>632</v>
      </c>
      <c r="K13" s="270">
        <v>0.1</v>
      </c>
      <c r="L13" s="271"/>
      <c r="M13" s="274"/>
      <c r="N13" s="275"/>
      <c r="O13" s="272"/>
      <c r="P13" s="272"/>
      <c r="Q13" s="272"/>
      <c r="R13" s="272"/>
      <c r="S13" s="272"/>
      <c r="T13" s="272"/>
      <c r="U13" s="272"/>
      <c r="V13" s="272"/>
      <c r="W13" s="272"/>
      <c r="X13" s="272"/>
      <c r="Y13" s="294"/>
      <c r="Z13" s="294"/>
      <c r="AA13" s="294"/>
      <c r="AB13" s="294"/>
      <c r="AC13" s="294"/>
      <c r="AD13" s="294"/>
      <c r="AE13" s="294"/>
      <c r="AF13" s="294"/>
      <c r="AG13" s="294"/>
      <c r="AH13" s="294"/>
      <c r="AI13" s="294"/>
      <c r="AJ13" s="294"/>
      <c r="AK13" s="294"/>
      <c r="AL13" s="294"/>
      <c r="AM13" s="294"/>
      <c r="AN13" s="294"/>
      <c r="AO13" s="294"/>
      <c r="AP13" s="294"/>
      <c r="AQ13" s="294"/>
    </row>
    <row r="14" spans="1:43" ht="31" customHeight="1" x14ac:dyDescent="0.3">
      <c r="B14" s="267">
        <v>4</v>
      </c>
      <c r="C14" s="267" t="s">
        <v>611</v>
      </c>
      <c r="D14" s="267" t="s">
        <v>633</v>
      </c>
      <c r="E14" s="268" t="s">
        <v>646</v>
      </c>
      <c r="F14" s="292">
        <f t="shared" si="0"/>
        <v>19</v>
      </c>
      <c r="G14" s="269">
        <v>45782</v>
      </c>
      <c r="H14" s="269">
        <v>45800</v>
      </c>
      <c r="I14" s="267" t="s">
        <v>647</v>
      </c>
      <c r="J14" s="267" t="s">
        <v>632</v>
      </c>
      <c r="K14" s="270">
        <v>0.1</v>
      </c>
      <c r="L14" s="271"/>
      <c r="M14" s="274"/>
      <c r="N14" s="275"/>
      <c r="O14" s="272"/>
      <c r="P14" s="272"/>
      <c r="Q14" s="272"/>
      <c r="R14" s="272"/>
      <c r="S14" s="272"/>
      <c r="T14" s="272"/>
      <c r="U14" s="272"/>
      <c r="V14" s="272"/>
      <c r="W14" s="272"/>
      <c r="X14" s="272"/>
      <c r="Y14" s="294"/>
      <c r="Z14" s="294"/>
      <c r="AA14" s="294"/>
      <c r="AB14" s="294"/>
      <c r="AC14" s="294"/>
      <c r="AD14" s="294"/>
      <c r="AE14" s="294"/>
      <c r="AF14" s="294"/>
      <c r="AG14" s="294"/>
      <c r="AH14" s="294"/>
      <c r="AI14" s="294"/>
      <c r="AJ14" s="294"/>
      <c r="AK14" s="294"/>
      <c r="AL14" s="294"/>
      <c r="AM14" s="294"/>
      <c r="AN14" s="294"/>
      <c r="AO14" s="294"/>
      <c r="AP14" s="294"/>
      <c r="AQ14" s="294"/>
    </row>
    <row r="15" spans="1:43" ht="31" customHeight="1" x14ac:dyDescent="0.3">
      <c r="B15" s="267">
        <v>5</v>
      </c>
      <c r="C15" s="267" t="s">
        <v>611</v>
      </c>
      <c r="D15" s="267" t="s">
        <v>631</v>
      </c>
      <c r="E15" s="268" t="s">
        <v>649</v>
      </c>
      <c r="F15" s="292">
        <f t="shared" si="0"/>
        <v>19</v>
      </c>
      <c r="G15" s="269">
        <v>45782</v>
      </c>
      <c r="H15" s="269">
        <v>45800</v>
      </c>
      <c r="I15" s="267" t="s">
        <v>648</v>
      </c>
      <c r="J15" s="267" t="s">
        <v>632</v>
      </c>
      <c r="K15" s="270">
        <v>0.1</v>
      </c>
      <c r="L15" s="271"/>
      <c r="M15" s="274"/>
      <c r="N15" s="275"/>
      <c r="O15" s="272"/>
      <c r="P15" s="272"/>
      <c r="Q15" s="272"/>
      <c r="R15" s="272"/>
      <c r="S15" s="272"/>
      <c r="T15" s="272"/>
      <c r="U15" s="272"/>
      <c r="V15" s="272"/>
      <c r="W15" s="272"/>
      <c r="X15" s="272"/>
      <c r="Y15" s="294"/>
      <c r="Z15" s="294"/>
      <c r="AA15" s="294"/>
      <c r="AB15" s="294"/>
      <c r="AC15" s="294"/>
      <c r="AD15" s="294"/>
      <c r="AE15" s="294"/>
      <c r="AF15" s="294"/>
      <c r="AG15" s="294"/>
      <c r="AH15" s="294"/>
      <c r="AI15" s="294"/>
      <c r="AJ15" s="294"/>
      <c r="AK15" s="294"/>
      <c r="AL15" s="294"/>
      <c r="AM15" s="294"/>
      <c r="AN15" s="294"/>
      <c r="AO15" s="294"/>
      <c r="AP15" s="294"/>
      <c r="AQ15" s="294"/>
    </row>
    <row r="16" spans="1:43" ht="31" customHeight="1" x14ac:dyDescent="0.3">
      <c r="B16" s="267">
        <v>6</v>
      </c>
      <c r="C16" s="267" t="s">
        <v>611</v>
      </c>
      <c r="D16" s="267" t="s">
        <v>633</v>
      </c>
      <c r="E16" s="268" t="s">
        <v>650</v>
      </c>
      <c r="F16" s="292">
        <f t="shared" si="0"/>
        <v>19</v>
      </c>
      <c r="G16" s="269">
        <v>45782</v>
      </c>
      <c r="H16" s="269">
        <v>45800</v>
      </c>
      <c r="I16" s="267" t="s">
        <v>648</v>
      </c>
      <c r="J16" s="267" t="s">
        <v>632</v>
      </c>
      <c r="K16" s="270">
        <v>0.1</v>
      </c>
      <c r="L16" s="271"/>
      <c r="M16" s="274"/>
      <c r="N16" s="275"/>
      <c r="O16" s="272"/>
      <c r="P16" s="272"/>
      <c r="Q16" s="272"/>
      <c r="R16" s="272"/>
      <c r="S16" s="272"/>
      <c r="T16" s="272"/>
      <c r="U16" s="272"/>
      <c r="V16" s="272"/>
      <c r="W16" s="272"/>
      <c r="X16" s="272"/>
      <c r="Y16" s="294"/>
      <c r="Z16" s="294"/>
      <c r="AA16" s="294"/>
      <c r="AB16" s="294"/>
      <c r="AC16" s="294"/>
      <c r="AD16" s="294"/>
      <c r="AE16" s="294"/>
      <c r="AF16" s="294"/>
      <c r="AG16" s="294"/>
      <c r="AH16" s="294"/>
      <c r="AI16" s="294"/>
      <c r="AJ16" s="294"/>
      <c r="AK16" s="294"/>
      <c r="AL16" s="294"/>
      <c r="AM16" s="294"/>
      <c r="AN16" s="294"/>
      <c r="AO16" s="294"/>
      <c r="AP16" s="294"/>
      <c r="AQ16" s="294"/>
    </row>
    <row r="17" spans="2:43" ht="31" customHeight="1" x14ac:dyDescent="0.3">
      <c r="B17" s="267">
        <v>7</v>
      </c>
      <c r="C17" s="267" t="s">
        <v>611</v>
      </c>
      <c r="D17" s="267" t="s">
        <v>634</v>
      </c>
      <c r="E17" s="298" t="s">
        <v>608</v>
      </c>
      <c r="F17" s="292">
        <f t="shared" si="0"/>
        <v>5</v>
      </c>
      <c r="G17" s="269">
        <v>45796</v>
      </c>
      <c r="H17" s="269">
        <v>45800</v>
      </c>
      <c r="I17" s="267" t="s">
        <v>606</v>
      </c>
      <c r="J17" s="267" t="s">
        <v>29</v>
      </c>
      <c r="K17" s="270">
        <v>0</v>
      </c>
      <c r="L17" s="271"/>
      <c r="M17" s="276"/>
      <c r="N17" s="276"/>
      <c r="O17" s="275"/>
      <c r="P17" s="276"/>
      <c r="Q17" s="276"/>
      <c r="R17" s="272"/>
      <c r="S17" s="272"/>
      <c r="T17" s="272"/>
      <c r="U17" s="272"/>
      <c r="V17" s="272"/>
      <c r="W17" s="272"/>
      <c r="X17" s="272"/>
      <c r="Y17" s="294"/>
      <c r="Z17" s="294"/>
      <c r="AA17" s="294"/>
      <c r="AB17" s="294"/>
      <c r="AC17" s="294"/>
      <c r="AD17" s="294"/>
      <c r="AE17" s="294"/>
      <c r="AF17" s="294"/>
      <c r="AG17" s="294"/>
      <c r="AH17" s="294"/>
      <c r="AI17" s="294"/>
      <c r="AJ17" s="294"/>
      <c r="AK17" s="294"/>
      <c r="AL17" s="294"/>
      <c r="AM17" s="294"/>
      <c r="AN17" s="294"/>
      <c r="AO17" s="294"/>
      <c r="AP17" s="294"/>
      <c r="AQ17" s="294"/>
    </row>
    <row r="18" spans="2:43" ht="31" customHeight="1" x14ac:dyDescent="0.25">
      <c r="B18" s="267">
        <v>8</v>
      </c>
      <c r="C18" s="267" t="s">
        <v>611</v>
      </c>
      <c r="D18" s="267" t="s">
        <v>634</v>
      </c>
      <c r="E18" s="268" t="s">
        <v>640</v>
      </c>
      <c r="F18" s="292">
        <f t="shared" si="0"/>
        <v>1</v>
      </c>
      <c r="G18" s="269">
        <v>45800</v>
      </c>
      <c r="H18" s="269">
        <v>45800</v>
      </c>
      <c r="I18" s="291" t="s">
        <v>641</v>
      </c>
      <c r="J18" s="267" t="s">
        <v>29</v>
      </c>
      <c r="K18" s="270">
        <v>0</v>
      </c>
      <c r="L18" s="271"/>
      <c r="M18" s="276"/>
      <c r="N18" s="276"/>
      <c r="O18" s="275"/>
      <c r="P18" s="276"/>
      <c r="Q18" s="276"/>
      <c r="R18" s="276"/>
      <c r="S18" s="276"/>
      <c r="T18" s="276"/>
      <c r="U18" s="276"/>
      <c r="V18" s="276"/>
      <c r="W18" s="276"/>
      <c r="X18" s="276"/>
      <c r="Y18" s="294"/>
      <c r="Z18" s="294"/>
      <c r="AA18" s="294"/>
      <c r="AB18" s="294"/>
      <c r="AC18" s="294"/>
      <c r="AD18" s="294"/>
      <c r="AE18" s="294"/>
      <c r="AF18" s="294"/>
      <c r="AG18" s="294"/>
      <c r="AH18" s="294"/>
      <c r="AI18" s="294"/>
      <c r="AJ18" s="294"/>
      <c r="AK18" s="294"/>
      <c r="AL18" s="294"/>
      <c r="AM18" s="294"/>
      <c r="AN18" s="294"/>
      <c r="AO18" s="294"/>
      <c r="AP18" s="294"/>
      <c r="AQ18" s="294"/>
    </row>
    <row r="19" spans="2:43" ht="31" customHeight="1" x14ac:dyDescent="0.25">
      <c r="B19" s="267">
        <v>9</v>
      </c>
      <c r="C19" s="267" t="s">
        <v>611</v>
      </c>
      <c r="D19" s="267"/>
      <c r="E19" s="268" t="s">
        <v>651</v>
      </c>
      <c r="F19" s="292">
        <f t="shared" si="0"/>
        <v>1</v>
      </c>
      <c r="G19" s="269">
        <v>45800</v>
      </c>
      <c r="H19" s="269">
        <v>45800</v>
      </c>
      <c r="I19" s="291" t="s">
        <v>653</v>
      </c>
      <c r="J19" s="267" t="s">
        <v>29</v>
      </c>
      <c r="K19" s="270">
        <v>0</v>
      </c>
      <c r="L19" s="271"/>
      <c r="M19" s="276"/>
      <c r="N19" s="276"/>
      <c r="O19" s="275"/>
      <c r="P19" s="276"/>
      <c r="Q19" s="276"/>
      <c r="R19" s="276"/>
      <c r="S19" s="276"/>
      <c r="T19" s="276"/>
      <c r="U19" s="276"/>
      <c r="V19" s="276"/>
      <c r="W19" s="276"/>
      <c r="X19" s="276"/>
      <c r="Y19" s="294"/>
      <c r="Z19" s="294"/>
      <c r="AA19" s="294"/>
      <c r="AB19" s="294"/>
      <c r="AC19" s="294"/>
      <c r="AD19" s="294"/>
      <c r="AE19" s="294"/>
      <c r="AF19" s="294"/>
      <c r="AG19" s="294"/>
      <c r="AH19" s="294"/>
      <c r="AI19" s="294"/>
      <c r="AJ19" s="294"/>
      <c r="AK19" s="294"/>
      <c r="AL19" s="294"/>
      <c r="AM19" s="294"/>
      <c r="AN19" s="294"/>
      <c r="AO19" s="294"/>
      <c r="AP19" s="294"/>
      <c r="AQ19" s="294"/>
    </row>
    <row r="20" spans="2:43" ht="31" customHeight="1" x14ac:dyDescent="0.25">
      <c r="B20" s="267">
        <v>10</v>
      </c>
      <c r="C20" s="267" t="s">
        <v>611</v>
      </c>
      <c r="D20" s="267"/>
      <c r="E20" s="268" t="s">
        <v>652</v>
      </c>
      <c r="F20" s="292">
        <f t="shared" si="0"/>
        <v>1</v>
      </c>
      <c r="G20" s="269">
        <v>45800</v>
      </c>
      <c r="H20" s="269">
        <v>45800</v>
      </c>
      <c r="I20" s="291" t="s">
        <v>654</v>
      </c>
      <c r="J20" s="267" t="s">
        <v>29</v>
      </c>
      <c r="K20" s="270">
        <v>0</v>
      </c>
      <c r="L20" s="271"/>
      <c r="M20" s="276"/>
      <c r="N20" s="276"/>
      <c r="O20" s="275"/>
      <c r="P20" s="276"/>
      <c r="Q20" s="276"/>
      <c r="R20" s="276"/>
      <c r="S20" s="276"/>
      <c r="T20" s="276"/>
      <c r="U20" s="276"/>
      <c r="V20" s="276"/>
      <c r="W20" s="276"/>
      <c r="X20" s="276"/>
      <c r="Y20" s="294"/>
      <c r="Z20" s="294"/>
      <c r="AA20" s="294"/>
      <c r="AB20" s="294"/>
      <c r="AC20" s="294"/>
      <c r="AD20" s="294"/>
      <c r="AE20" s="294"/>
      <c r="AF20" s="294"/>
      <c r="AG20" s="294"/>
      <c r="AH20" s="294"/>
      <c r="AI20" s="294"/>
      <c r="AJ20" s="294"/>
      <c r="AK20" s="294"/>
      <c r="AL20" s="294"/>
      <c r="AM20" s="294"/>
      <c r="AN20" s="294"/>
      <c r="AO20" s="294"/>
      <c r="AP20" s="294"/>
      <c r="AQ20" s="294"/>
    </row>
    <row r="21" spans="2:43" ht="31" customHeight="1" x14ac:dyDescent="0.25">
      <c r="B21" s="267">
        <v>11</v>
      </c>
      <c r="C21" s="267" t="s">
        <v>611</v>
      </c>
      <c r="D21" s="267" t="s">
        <v>635</v>
      </c>
      <c r="E21" s="297" t="s">
        <v>642</v>
      </c>
      <c r="F21" s="292">
        <f t="shared" si="0"/>
        <v>3</v>
      </c>
      <c r="G21" s="269">
        <v>45803</v>
      </c>
      <c r="H21" s="269">
        <v>45805</v>
      </c>
      <c r="I21" s="267" t="s">
        <v>643</v>
      </c>
      <c r="J21" s="267" t="s">
        <v>29</v>
      </c>
      <c r="K21" s="270">
        <v>0</v>
      </c>
      <c r="L21" s="271"/>
      <c r="M21" s="276"/>
      <c r="N21" s="276"/>
      <c r="O21" s="276"/>
      <c r="P21" s="275"/>
      <c r="Q21" s="276"/>
      <c r="R21" s="276"/>
      <c r="S21" s="276"/>
      <c r="T21" s="276"/>
      <c r="U21" s="276"/>
      <c r="V21" s="276"/>
      <c r="W21" s="276"/>
      <c r="X21" s="276"/>
      <c r="Y21" s="294"/>
      <c r="Z21" s="294"/>
      <c r="AA21" s="294"/>
      <c r="AB21" s="294"/>
      <c r="AC21" s="294"/>
      <c r="AD21" s="294"/>
      <c r="AE21" s="294"/>
      <c r="AF21" s="294"/>
      <c r="AG21" s="294"/>
      <c r="AH21" s="294"/>
      <c r="AI21" s="294"/>
      <c r="AJ21" s="294"/>
      <c r="AK21" s="294"/>
      <c r="AL21" s="294"/>
      <c r="AM21" s="294"/>
      <c r="AN21" s="294"/>
      <c r="AO21" s="294"/>
      <c r="AP21" s="294"/>
      <c r="AQ21" s="294"/>
    </row>
    <row r="22" spans="2:43" ht="31" customHeight="1" x14ac:dyDescent="0.25">
      <c r="B22" s="267">
        <v>12</v>
      </c>
      <c r="C22" s="267" t="s">
        <v>611</v>
      </c>
      <c r="D22" s="267" t="s">
        <v>635</v>
      </c>
      <c r="E22" s="268" t="s">
        <v>655</v>
      </c>
      <c r="F22" s="292">
        <f t="shared" si="0"/>
        <v>2</v>
      </c>
      <c r="G22" s="269">
        <v>45806</v>
      </c>
      <c r="H22" s="269">
        <v>45807</v>
      </c>
      <c r="I22" s="291" t="s">
        <v>644</v>
      </c>
      <c r="J22" s="267" t="s">
        <v>29</v>
      </c>
      <c r="K22" s="270">
        <v>0</v>
      </c>
      <c r="L22" s="271"/>
      <c r="M22" s="276"/>
      <c r="N22" s="276"/>
      <c r="O22" s="276"/>
      <c r="P22" s="275"/>
      <c r="Q22" s="276"/>
      <c r="R22" s="276"/>
      <c r="S22" s="276"/>
      <c r="T22" s="276"/>
      <c r="U22" s="276"/>
      <c r="V22" s="276"/>
      <c r="W22" s="276"/>
      <c r="X22" s="276"/>
      <c r="Y22" s="294"/>
      <c r="Z22" s="294"/>
      <c r="AA22" s="294"/>
      <c r="AB22" s="294"/>
      <c r="AC22" s="294"/>
      <c r="AD22" s="294"/>
      <c r="AE22" s="294"/>
      <c r="AF22" s="294"/>
      <c r="AG22" s="294"/>
      <c r="AH22" s="294"/>
      <c r="AI22" s="294"/>
      <c r="AJ22" s="294"/>
      <c r="AK22" s="294"/>
      <c r="AL22" s="294"/>
      <c r="AM22" s="294"/>
      <c r="AN22" s="294"/>
      <c r="AO22" s="294"/>
      <c r="AP22" s="294"/>
      <c r="AQ22" s="294"/>
    </row>
    <row r="23" spans="2:43" ht="31" customHeight="1" x14ac:dyDescent="0.25">
      <c r="B23" s="267">
        <v>13</v>
      </c>
      <c r="C23" s="267" t="s">
        <v>612</v>
      </c>
      <c r="D23" s="267" t="s">
        <v>634</v>
      </c>
      <c r="E23" s="298" t="s">
        <v>657</v>
      </c>
      <c r="F23" s="292">
        <f t="shared" si="0"/>
        <v>1</v>
      </c>
      <c r="G23" s="269">
        <v>45811</v>
      </c>
      <c r="H23" s="269">
        <v>45811</v>
      </c>
      <c r="I23" s="291" t="s">
        <v>656</v>
      </c>
      <c r="J23" s="267" t="s">
        <v>29</v>
      </c>
      <c r="K23" s="270">
        <v>0</v>
      </c>
      <c r="L23" s="271"/>
      <c r="M23" s="276"/>
      <c r="N23" s="276"/>
      <c r="O23" s="276"/>
      <c r="P23" s="276"/>
      <c r="Q23" s="275"/>
      <c r="R23" s="276"/>
      <c r="S23" s="276"/>
      <c r="T23" s="276"/>
      <c r="U23" s="276"/>
      <c r="V23" s="276"/>
      <c r="W23" s="276"/>
      <c r="X23" s="276"/>
      <c r="Y23" s="294"/>
      <c r="Z23" s="294"/>
      <c r="AA23" s="294"/>
      <c r="AB23" s="294"/>
      <c r="AC23" s="294"/>
      <c r="AD23" s="294"/>
      <c r="AE23" s="294"/>
      <c r="AF23" s="294"/>
      <c r="AG23" s="294"/>
      <c r="AH23" s="294"/>
      <c r="AI23" s="294"/>
      <c r="AJ23" s="294"/>
      <c r="AK23" s="294"/>
      <c r="AL23" s="294"/>
      <c r="AM23" s="294"/>
      <c r="AN23" s="294"/>
      <c r="AO23" s="294"/>
      <c r="AP23" s="294"/>
      <c r="AQ23" s="294"/>
    </row>
    <row r="24" spans="2:43" ht="31" customHeight="1" x14ac:dyDescent="0.25">
      <c r="B24" s="267">
        <v>14</v>
      </c>
      <c r="C24" s="267" t="s">
        <v>612</v>
      </c>
      <c r="D24" s="267" t="s">
        <v>634</v>
      </c>
      <c r="E24" s="298" t="s">
        <v>658</v>
      </c>
      <c r="F24" s="292">
        <f t="shared" si="0"/>
        <v>1</v>
      </c>
      <c r="G24" s="269">
        <v>45812</v>
      </c>
      <c r="H24" s="269">
        <v>45812</v>
      </c>
      <c r="I24" s="291" t="s">
        <v>708</v>
      </c>
      <c r="J24" s="267" t="s">
        <v>29</v>
      </c>
      <c r="K24" s="270">
        <v>0</v>
      </c>
      <c r="L24" s="271"/>
      <c r="M24" s="276"/>
      <c r="N24" s="276"/>
      <c r="O24" s="276"/>
      <c r="P24" s="276"/>
      <c r="Q24" s="275"/>
      <c r="R24" s="276"/>
      <c r="S24" s="276"/>
      <c r="T24" s="276"/>
      <c r="U24" s="276"/>
      <c r="V24" s="276"/>
      <c r="W24" s="276"/>
      <c r="X24" s="276"/>
      <c r="Y24" s="294"/>
      <c r="Z24" s="294"/>
      <c r="AA24" s="294"/>
      <c r="AB24" s="294"/>
      <c r="AC24" s="294"/>
      <c r="AD24" s="294"/>
      <c r="AE24" s="294"/>
      <c r="AF24" s="294"/>
      <c r="AG24" s="294"/>
      <c r="AH24" s="294"/>
      <c r="AI24" s="294"/>
      <c r="AJ24" s="294"/>
      <c r="AK24" s="294"/>
      <c r="AL24" s="294"/>
      <c r="AM24" s="294"/>
      <c r="AN24" s="294"/>
      <c r="AO24" s="294"/>
      <c r="AP24" s="294"/>
      <c r="AQ24" s="294"/>
    </row>
    <row r="25" spans="2:43" ht="31" customHeight="1" x14ac:dyDescent="0.25">
      <c r="B25" s="267">
        <v>15</v>
      </c>
      <c r="C25" s="267" t="s">
        <v>612</v>
      </c>
      <c r="D25" s="267" t="s">
        <v>636</v>
      </c>
      <c r="E25" s="298" t="s">
        <v>659</v>
      </c>
      <c r="F25" s="292">
        <f t="shared" si="0"/>
        <v>1</v>
      </c>
      <c r="G25" s="269">
        <v>45813</v>
      </c>
      <c r="H25" s="269">
        <v>45813</v>
      </c>
      <c r="I25" s="291" t="s">
        <v>709</v>
      </c>
      <c r="J25" s="267" t="s">
        <v>29</v>
      </c>
      <c r="K25" s="270">
        <v>0</v>
      </c>
      <c r="L25" s="271"/>
      <c r="M25" s="276"/>
      <c r="N25" s="276"/>
      <c r="O25" s="275"/>
      <c r="P25" s="276"/>
      <c r="Q25" s="276"/>
      <c r="R25" s="276"/>
      <c r="S25" s="276"/>
      <c r="T25" s="276"/>
      <c r="U25" s="276"/>
      <c r="V25" s="276"/>
      <c r="W25" s="276"/>
      <c r="X25" s="276"/>
      <c r="Y25" s="294"/>
      <c r="Z25" s="294"/>
      <c r="AA25" s="294"/>
      <c r="AB25" s="294"/>
      <c r="AC25" s="294"/>
      <c r="AD25" s="294"/>
      <c r="AE25" s="294"/>
      <c r="AF25" s="294"/>
      <c r="AG25" s="294"/>
      <c r="AH25" s="294"/>
      <c r="AI25" s="294"/>
      <c r="AJ25" s="294"/>
      <c r="AK25" s="294"/>
      <c r="AL25" s="294"/>
      <c r="AM25" s="294"/>
      <c r="AN25" s="294"/>
      <c r="AO25" s="294"/>
      <c r="AP25" s="294"/>
      <c r="AQ25" s="294"/>
    </row>
    <row r="26" spans="2:43" ht="31" customHeight="1" x14ac:dyDescent="0.25">
      <c r="B26" s="267">
        <v>16</v>
      </c>
      <c r="C26" s="267" t="s">
        <v>612</v>
      </c>
      <c r="D26" s="267" t="s">
        <v>634</v>
      </c>
      <c r="E26" s="298" t="s">
        <v>660</v>
      </c>
      <c r="F26" s="292">
        <f t="shared" si="0"/>
        <v>1</v>
      </c>
      <c r="G26" s="269">
        <v>45814</v>
      </c>
      <c r="H26" s="269">
        <v>45814</v>
      </c>
      <c r="I26" s="291" t="s">
        <v>709</v>
      </c>
      <c r="J26" s="267" t="s">
        <v>29</v>
      </c>
      <c r="K26" s="270">
        <v>0</v>
      </c>
      <c r="L26" s="271"/>
      <c r="M26" s="277"/>
      <c r="N26" s="276"/>
      <c r="O26" s="275"/>
      <c r="P26" s="276"/>
      <c r="Q26" s="277"/>
      <c r="R26" s="277"/>
      <c r="S26" s="276"/>
      <c r="T26" s="276"/>
      <c r="U26" s="276"/>
      <c r="V26" s="276"/>
      <c r="W26" s="276"/>
      <c r="X26" s="276"/>
      <c r="Y26" s="294"/>
      <c r="Z26" s="294"/>
      <c r="AA26" s="294"/>
      <c r="AB26" s="294"/>
      <c r="AC26" s="294"/>
      <c r="AD26" s="294"/>
      <c r="AE26" s="294"/>
      <c r="AF26" s="294"/>
      <c r="AG26" s="294"/>
      <c r="AH26" s="294"/>
      <c r="AI26" s="294"/>
      <c r="AJ26" s="294"/>
      <c r="AK26" s="294"/>
      <c r="AL26" s="294"/>
      <c r="AM26" s="294"/>
      <c r="AN26" s="294"/>
      <c r="AO26" s="294"/>
      <c r="AP26" s="294"/>
      <c r="AQ26" s="294"/>
    </row>
    <row r="27" spans="2:43" ht="31" customHeight="1" x14ac:dyDescent="0.25">
      <c r="B27" s="267">
        <v>17</v>
      </c>
      <c r="C27" s="267" t="s">
        <v>612</v>
      </c>
      <c r="D27" s="267"/>
      <c r="E27" s="298" t="s">
        <v>661</v>
      </c>
      <c r="F27" s="292">
        <f t="shared" si="0"/>
        <v>1</v>
      </c>
      <c r="G27" s="269">
        <v>45818</v>
      </c>
      <c r="H27" s="269">
        <v>45818</v>
      </c>
      <c r="I27" s="291" t="s">
        <v>710</v>
      </c>
      <c r="J27" s="267" t="s">
        <v>29</v>
      </c>
      <c r="K27" s="270">
        <v>0</v>
      </c>
      <c r="L27" s="271"/>
      <c r="M27" s="276"/>
      <c r="N27" s="276"/>
      <c r="O27" s="276"/>
      <c r="P27" s="276"/>
      <c r="Q27" s="276"/>
      <c r="R27" s="275"/>
      <c r="S27" s="276"/>
      <c r="T27" s="276"/>
      <c r="U27" s="276"/>
      <c r="V27" s="276"/>
      <c r="W27" s="276"/>
      <c r="X27" s="276"/>
      <c r="Y27" s="294"/>
      <c r="Z27" s="294"/>
      <c r="AA27" s="294"/>
      <c r="AB27" s="294"/>
      <c r="AC27" s="294"/>
      <c r="AD27" s="294"/>
      <c r="AE27" s="294"/>
      <c r="AF27" s="294"/>
      <c r="AG27" s="294"/>
      <c r="AH27" s="294"/>
      <c r="AI27" s="294"/>
      <c r="AJ27" s="294"/>
      <c r="AK27" s="294"/>
      <c r="AL27" s="294"/>
      <c r="AM27" s="294"/>
      <c r="AN27" s="294"/>
      <c r="AO27" s="294"/>
      <c r="AP27" s="294"/>
      <c r="AQ27" s="294"/>
    </row>
    <row r="28" spans="2:43" ht="31" customHeight="1" x14ac:dyDescent="0.25">
      <c r="B28" s="267">
        <v>18</v>
      </c>
      <c r="C28" s="267" t="s">
        <v>612</v>
      </c>
      <c r="D28" s="267"/>
      <c r="E28" s="298" t="s">
        <v>662</v>
      </c>
      <c r="F28" s="292">
        <f t="shared" si="0"/>
        <v>1</v>
      </c>
      <c r="G28" s="269">
        <v>45818</v>
      </c>
      <c r="H28" s="269">
        <v>45818</v>
      </c>
      <c r="I28" s="291" t="s">
        <v>710</v>
      </c>
      <c r="J28" s="267" t="s">
        <v>29</v>
      </c>
      <c r="K28" s="270">
        <v>0</v>
      </c>
      <c r="L28" s="271"/>
      <c r="M28" s="276"/>
      <c r="N28" s="276"/>
      <c r="O28" s="276"/>
      <c r="P28" s="276"/>
      <c r="Q28" s="276"/>
      <c r="R28" s="275"/>
      <c r="S28" s="276"/>
      <c r="T28" s="276"/>
      <c r="U28" s="276"/>
      <c r="V28" s="276"/>
      <c r="W28" s="276"/>
      <c r="X28" s="276"/>
      <c r="Y28" s="294"/>
      <c r="Z28" s="294"/>
      <c r="AA28" s="294"/>
      <c r="AB28" s="294"/>
      <c r="AC28" s="294"/>
      <c r="AD28" s="294"/>
      <c r="AE28" s="294"/>
      <c r="AF28" s="294"/>
      <c r="AG28" s="294"/>
      <c r="AH28" s="294"/>
      <c r="AI28" s="294"/>
      <c r="AJ28" s="294"/>
      <c r="AK28" s="294"/>
      <c r="AL28" s="294"/>
      <c r="AM28" s="294"/>
      <c r="AN28" s="294"/>
      <c r="AO28" s="294"/>
      <c r="AP28" s="294"/>
      <c r="AQ28" s="294"/>
    </row>
    <row r="29" spans="2:43" ht="31" customHeight="1" x14ac:dyDescent="0.25">
      <c r="B29" s="267">
        <v>19</v>
      </c>
      <c r="C29" s="267" t="s">
        <v>612</v>
      </c>
      <c r="D29" s="267"/>
      <c r="E29" s="298" t="s">
        <v>663</v>
      </c>
      <c r="F29" s="292">
        <f t="shared" si="0"/>
        <v>1</v>
      </c>
      <c r="G29" s="269">
        <v>45819</v>
      </c>
      <c r="H29" s="269">
        <v>45819</v>
      </c>
      <c r="I29" s="291" t="s">
        <v>711</v>
      </c>
      <c r="J29" s="267" t="s">
        <v>29</v>
      </c>
      <c r="K29" s="270">
        <v>0</v>
      </c>
      <c r="L29" s="271"/>
      <c r="M29" s="276"/>
      <c r="N29" s="276"/>
      <c r="O29" s="276"/>
      <c r="P29" s="276"/>
      <c r="Q29" s="276"/>
      <c r="R29" s="275"/>
      <c r="S29" s="276"/>
      <c r="T29" s="276"/>
      <c r="U29" s="276"/>
      <c r="V29" s="276"/>
      <c r="W29" s="276"/>
      <c r="X29" s="276"/>
      <c r="Y29" s="294"/>
      <c r="Z29" s="294"/>
      <c r="AA29" s="294"/>
      <c r="AB29" s="294"/>
      <c r="AC29" s="294"/>
      <c r="AD29" s="294"/>
      <c r="AE29" s="294"/>
      <c r="AF29" s="294"/>
      <c r="AG29" s="294"/>
      <c r="AH29" s="294"/>
      <c r="AI29" s="294"/>
      <c r="AJ29" s="294"/>
      <c r="AK29" s="294"/>
      <c r="AL29" s="294"/>
      <c r="AM29" s="294"/>
      <c r="AN29" s="294"/>
      <c r="AO29" s="294"/>
      <c r="AP29" s="294"/>
      <c r="AQ29" s="294"/>
    </row>
    <row r="30" spans="2:43" ht="31" customHeight="1" x14ac:dyDescent="0.25">
      <c r="B30" s="267">
        <v>20</v>
      </c>
      <c r="C30" s="267" t="s">
        <v>612</v>
      </c>
      <c r="D30" s="267"/>
      <c r="E30" s="268" t="s">
        <v>664</v>
      </c>
      <c r="F30" s="292">
        <f t="shared" si="0"/>
        <v>2</v>
      </c>
      <c r="G30" s="269">
        <v>45820</v>
      </c>
      <c r="H30" s="269">
        <v>45821</v>
      </c>
      <c r="I30" s="291" t="s">
        <v>361</v>
      </c>
      <c r="J30" s="267" t="s">
        <v>29</v>
      </c>
      <c r="K30" s="270">
        <v>0</v>
      </c>
      <c r="L30" s="271"/>
      <c r="M30" s="276"/>
      <c r="N30" s="276"/>
      <c r="O30" s="276"/>
      <c r="P30" s="276"/>
      <c r="Q30" s="276"/>
      <c r="R30" s="275"/>
      <c r="S30" s="276"/>
      <c r="T30" s="276"/>
      <c r="U30" s="276"/>
      <c r="V30" s="276"/>
      <c r="W30" s="276"/>
      <c r="X30" s="276"/>
      <c r="Y30" s="294"/>
      <c r="Z30" s="294"/>
      <c r="AA30" s="294"/>
      <c r="AB30" s="294"/>
      <c r="AC30" s="294"/>
      <c r="AD30" s="294"/>
      <c r="AE30" s="294"/>
      <c r="AF30" s="294"/>
      <c r="AG30" s="294"/>
      <c r="AH30" s="294"/>
      <c r="AI30" s="294"/>
      <c r="AJ30" s="294"/>
      <c r="AK30" s="294"/>
      <c r="AL30" s="294"/>
      <c r="AM30" s="294"/>
      <c r="AN30" s="294"/>
      <c r="AO30" s="294"/>
      <c r="AP30" s="294"/>
      <c r="AQ30" s="294"/>
    </row>
    <row r="31" spans="2:43" ht="31" customHeight="1" x14ac:dyDescent="0.25">
      <c r="B31" s="267">
        <v>21</v>
      </c>
      <c r="C31" s="267" t="s">
        <v>612</v>
      </c>
      <c r="D31" s="267"/>
      <c r="E31" s="268" t="s">
        <v>666</v>
      </c>
      <c r="F31" s="292">
        <f t="shared" si="0"/>
        <v>2</v>
      </c>
      <c r="G31" s="269">
        <v>45824</v>
      </c>
      <c r="H31" s="269">
        <v>45825</v>
      </c>
      <c r="I31" s="291" t="s">
        <v>667</v>
      </c>
      <c r="J31" s="267" t="s">
        <v>29</v>
      </c>
      <c r="K31" s="270">
        <v>0</v>
      </c>
      <c r="L31" s="271"/>
      <c r="M31" s="276"/>
      <c r="N31" s="276"/>
      <c r="O31" s="276"/>
      <c r="P31" s="276"/>
      <c r="Q31" s="276"/>
      <c r="R31" s="276"/>
      <c r="S31" s="275"/>
      <c r="T31" s="276"/>
      <c r="U31" s="276"/>
      <c r="V31" s="276"/>
      <c r="W31" s="276"/>
      <c r="X31" s="276"/>
      <c r="Y31" s="294"/>
      <c r="Z31" s="294"/>
      <c r="AA31" s="294"/>
      <c r="AB31" s="294"/>
      <c r="AC31" s="294"/>
      <c r="AD31" s="294"/>
      <c r="AE31" s="294"/>
      <c r="AF31" s="294"/>
      <c r="AG31" s="294"/>
      <c r="AH31" s="294"/>
      <c r="AI31" s="294"/>
      <c r="AJ31" s="294"/>
      <c r="AK31" s="294"/>
      <c r="AL31" s="294"/>
      <c r="AM31" s="294"/>
      <c r="AN31" s="294"/>
      <c r="AO31" s="294"/>
      <c r="AP31" s="294"/>
      <c r="AQ31" s="294"/>
    </row>
    <row r="32" spans="2:43" ht="31" customHeight="1" x14ac:dyDescent="0.25">
      <c r="B32" s="267">
        <v>22</v>
      </c>
      <c r="C32" s="267" t="s">
        <v>612</v>
      </c>
      <c r="D32" s="267"/>
      <c r="E32" s="268" t="s">
        <v>668</v>
      </c>
      <c r="F32" s="292">
        <f t="shared" si="0"/>
        <v>1</v>
      </c>
      <c r="G32" s="269">
        <v>45826</v>
      </c>
      <c r="H32" s="269">
        <v>45826</v>
      </c>
      <c r="I32" s="291" t="s">
        <v>643</v>
      </c>
      <c r="J32" s="267" t="s">
        <v>29</v>
      </c>
      <c r="K32" s="270">
        <v>0</v>
      </c>
      <c r="L32" s="271"/>
      <c r="M32" s="276"/>
      <c r="N32" s="276"/>
      <c r="O32" s="276"/>
      <c r="P32" s="276"/>
      <c r="Q32" s="276"/>
      <c r="R32" s="276"/>
      <c r="S32" s="275"/>
      <c r="T32" s="276"/>
      <c r="U32" s="276"/>
      <c r="V32" s="276"/>
      <c r="W32" s="276"/>
      <c r="X32" s="276"/>
      <c r="Y32" s="294"/>
      <c r="Z32" s="294"/>
      <c r="AA32" s="294"/>
      <c r="AB32" s="294"/>
      <c r="AC32" s="294"/>
      <c r="AD32" s="294"/>
      <c r="AE32" s="294"/>
      <c r="AF32" s="294"/>
      <c r="AG32" s="294"/>
      <c r="AH32" s="294"/>
      <c r="AI32" s="294"/>
      <c r="AJ32" s="294"/>
      <c r="AK32" s="294"/>
      <c r="AL32" s="294"/>
      <c r="AM32" s="294"/>
      <c r="AN32" s="294"/>
      <c r="AO32" s="294"/>
      <c r="AP32" s="294"/>
      <c r="AQ32" s="294"/>
    </row>
    <row r="33" spans="1:43" ht="31" customHeight="1" x14ac:dyDescent="0.25">
      <c r="B33" s="267">
        <v>23</v>
      </c>
      <c r="C33" s="267" t="s">
        <v>613</v>
      </c>
      <c r="D33" s="267"/>
      <c r="E33" s="268" t="s">
        <v>669</v>
      </c>
      <c r="F33" s="292">
        <f t="shared" si="0"/>
        <v>28</v>
      </c>
      <c r="G33" s="269">
        <v>45831</v>
      </c>
      <c r="H33" s="269">
        <v>45858</v>
      </c>
      <c r="I33" s="291" t="s">
        <v>361</v>
      </c>
      <c r="J33" s="267" t="s">
        <v>29</v>
      </c>
      <c r="K33" s="270">
        <v>0</v>
      </c>
      <c r="L33" s="271"/>
      <c r="M33" s="276"/>
      <c r="N33" s="276"/>
      <c r="O33" s="276"/>
      <c r="P33" s="276"/>
      <c r="Q33" s="276"/>
      <c r="R33" s="276"/>
      <c r="S33" s="276"/>
      <c r="T33" s="275"/>
      <c r="U33" s="275"/>
      <c r="V33" s="275"/>
      <c r="W33" s="275"/>
      <c r="X33" s="276"/>
      <c r="Y33" s="294"/>
      <c r="Z33" s="294"/>
      <c r="AA33" s="294"/>
      <c r="AB33" s="294"/>
      <c r="AC33" s="294"/>
      <c r="AD33" s="294"/>
      <c r="AE33" s="294"/>
      <c r="AF33" s="294"/>
      <c r="AG33" s="294"/>
      <c r="AH33" s="294"/>
      <c r="AI33" s="294"/>
      <c r="AJ33" s="294"/>
      <c r="AK33" s="294"/>
      <c r="AL33" s="294"/>
      <c r="AM33" s="294"/>
      <c r="AN33" s="294"/>
      <c r="AO33" s="294"/>
      <c r="AP33" s="294"/>
      <c r="AQ33" s="294"/>
    </row>
    <row r="34" spans="1:43" ht="25" x14ac:dyDescent="0.25">
      <c r="B34" s="267">
        <v>24</v>
      </c>
      <c r="C34" s="267" t="s">
        <v>613</v>
      </c>
      <c r="D34" s="267"/>
      <c r="E34" s="268" t="s">
        <v>670</v>
      </c>
      <c r="F34" s="292">
        <f t="shared" si="0"/>
        <v>7</v>
      </c>
      <c r="G34" s="269">
        <v>45859</v>
      </c>
      <c r="H34" s="269">
        <v>45865</v>
      </c>
      <c r="I34" s="291" t="s">
        <v>667</v>
      </c>
      <c r="J34" s="267" t="s">
        <v>29</v>
      </c>
      <c r="K34" s="270">
        <v>0</v>
      </c>
      <c r="L34" s="271"/>
      <c r="M34" s="276"/>
      <c r="N34" s="276"/>
      <c r="O34" s="276"/>
      <c r="P34" s="276"/>
      <c r="Q34" s="276"/>
      <c r="R34" s="276"/>
      <c r="S34" s="276"/>
      <c r="T34" s="276"/>
      <c r="U34" s="276"/>
      <c r="V34" s="276"/>
      <c r="W34" s="276"/>
      <c r="X34" s="275"/>
      <c r="Y34" s="294"/>
      <c r="Z34" s="294"/>
      <c r="AA34" s="294"/>
      <c r="AB34" s="294"/>
      <c r="AC34" s="294"/>
      <c r="AD34" s="294"/>
      <c r="AE34" s="294"/>
      <c r="AF34" s="294"/>
      <c r="AG34" s="294"/>
      <c r="AH34" s="294"/>
      <c r="AI34" s="294"/>
      <c r="AJ34" s="294"/>
      <c r="AK34" s="294"/>
      <c r="AL34" s="294"/>
      <c r="AM34" s="294"/>
      <c r="AN34" s="294"/>
      <c r="AO34" s="294"/>
      <c r="AP34" s="294"/>
      <c r="AQ34" s="294"/>
    </row>
    <row r="35" spans="1:43" ht="29" customHeight="1" x14ac:dyDescent="0.25">
      <c r="B35" s="267">
        <v>25</v>
      </c>
      <c r="C35" s="267" t="s">
        <v>613</v>
      </c>
      <c r="D35" s="267"/>
      <c r="E35" s="268" t="s">
        <v>685</v>
      </c>
      <c r="F35" s="292">
        <f t="shared" si="0"/>
        <v>7</v>
      </c>
      <c r="G35" s="269">
        <v>45866</v>
      </c>
      <c r="H35" s="269">
        <v>45872</v>
      </c>
      <c r="I35" s="291" t="s">
        <v>707</v>
      </c>
      <c r="J35" s="267" t="s">
        <v>29</v>
      </c>
      <c r="K35" s="270">
        <v>0</v>
      </c>
      <c r="L35" s="271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Y35" s="275"/>
      <c r="Z35" s="276"/>
      <c r="AA35" s="294"/>
      <c r="AB35" s="294"/>
      <c r="AC35" s="294"/>
      <c r="AD35" s="294"/>
      <c r="AE35" s="294"/>
      <c r="AF35" s="294"/>
      <c r="AG35" s="294"/>
      <c r="AH35" s="294"/>
      <c r="AI35" s="294"/>
      <c r="AJ35" s="294"/>
      <c r="AK35" s="294"/>
      <c r="AL35" s="294"/>
      <c r="AM35" s="294"/>
      <c r="AN35" s="294"/>
      <c r="AO35" s="294"/>
      <c r="AP35" s="294"/>
      <c r="AQ35" s="294"/>
    </row>
    <row r="36" spans="1:43" ht="28" customHeight="1" x14ac:dyDescent="0.25">
      <c r="B36" s="267">
        <v>26</v>
      </c>
      <c r="C36" s="267" t="s">
        <v>613</v>
      </c>
      <c r="D36" s="267"/>
      <c r="E36" s="298" t="s">
        <v>690</v>
      </c>
      <c r="F36" s="292">
        <f t="shared" si="0"/>
        <v>7</v>
      </c>
      <c r="G36" s="269">
        <v>45866</v>
      </c>
      <c r="H36" s="269">
        <v>45872</v>
      </c>
      <c r="I36" s="291" t="s">
        <v>707</v>
      </c>
      <c r="J36" s="267" t="s">
        <v>29</v>
      </c>
      <c r="K36" s="270">
        <v>0</v>
      </c>
      <c r="L36" s="271"/>
      <c r="M36" s="276"/>
      <c r="N36" s="276"/>
      <c r="O36" s="276"/>
      <c r="P36" s="276"/>
      <c r="Q36" s="276"/>
      <c r="R36" s="276"/>
      <c r="S36" s="276"/>
      <c r="T36" s="276"/>
      <c r="U36" s="276"/>
      <c r="V36" s="276"/>
      <c r="W36" s="276"/>
      <c r="X36" s="276"/>
      <c r="Y36" s="275"/>
      <c r="Z36" s="276"/>
      <c r="AA36" s="294"/>
      <c r="AB36" s="294"/>
      <c r="AC36" s="294"/>
      <c r="AD36" s="294"/>
      <c r="AE36" s="294"/>
      <c r="AF36" s="294"/>
      <c r="AG36" s="294"/>
      <c r="AH36" s="294"/>
      <c r="AI36" s="294"/>
      <c r="AJ36" s="294"/>
      <c r="AK36" s="294"/>
      <c r="AL36" s="294"/>
      <c r="AM36" s="294"/>
      <c r="AN36" s="294"/>
      <c r="AO36" s="294"/>
      <c r="AP36" s="294"/>
      <c r="AQ36" s="294"/>
    </row>
    <row r="37" spans="1:43" ht="29" customHeight="1" x14ac:dyDescent="0.25">
      <c r="B37" s="267">
        <v>26</v>
      </c>
      <c r="C37" s="267" t="s">
        <v>613</v>
      </c>
      <c r="D37" s="267"/>
      <c r="E37" s="298" t="s">
        <v>671</v>
      </c>
      <c r="F37" s="292">
        <f t="shared" si="0"/>
        <v>14</v>
      </c>
      <c r="G37" s="269">
        <v>45866</v>
      </c>
      <c r="H37" s="269">
        <v>45879</v>
      </c>
      <c r="I37" s="291" t="s">
        <v>707</v>
      </c>
      <c r="J37" s="267" t="s">
        <v>29</v>
      </c>
      <c r="K37" s="270">
        <v>0</v>
      </c>
      <c r="L37" s="271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Y37" s="275"/>
      <c r="Z37" s="275"/>
      <c r="AA37" s="294"/>
      <c r="AB37" s="294"/>
      <c r="AC37" s="294"/>
      <c r="AD37" s="294"/>
      <c r="AE37" s="294"/>
      <c r="AF37" s="294"/>
      <c r="AG37" s="294"/>
      <c r="AH37" s="294"/>
      <c r="AI37" s="294"/>
      <c r="AJ37" s="294"/>
      <c r="AK37" s="294"/>
      <c r="AL37" s="294"/>
      <c r="AM37" s="294"/>
      <c r="AN37" s="294"/>
      <c r="AO37" s="294"/>
      <c r="AP37" s="294"/>
      <c r="AQ37" s="294"/>
    </row>
    <row r="38" spans="1:43" ht="36" customHeight="1" x14ac:dyDescent="0.25">
      <c r="B38" s="267">
        <v>27</v>
      </c>
      <c r="C38" s="267" t="s">
        <v>682</v>
      </c>
      <c r="D38" s="267"/>
      <c r="E38" s="298" t="s">
        <v>683</v>
      </c>
      <c r="F38" s="292">
        <f t="shared" si="0"/>
        <v>7</v>
      </c>
      <c r="G38" s="269">
        <v>45880</v>
      </c>
      <c r="H38" s="269">
        <v>45886</v>
      </c>
      <c r="I38" s="291" t="s">
        <v>361</v>
      </c>
      <c r="J38" s="267" t="s">
        <v>29</v>
      </c>
      <c r="K38" s="270">
        <v>0</v>
      </c>
      <c r="L38" s="271"/>
      <c r="M38" s="276"/>
      <c r="N38" s="276"/>
      <c r="O38" s="276"/>
      <c r="P38" s="276"/>
      <c r="Q38" s="276"/>
      <c r="R38" s="276"/>
      <c r="S38" s="276"/>
      <c r="T38" s="276"/>
      <c r="U38" s="276"/>
      <c r="V38" s="276"/>
      <c r="W38" s="276"/>
      <c r="X38" s="276"/>
      <c r="Y38" s="294"/>
      <c r="Z38" s="294"/>
      <c r="AA38" s="275"/>
      <c r="AB38" s="294"/>
      <c r="AC38" s="294"/>
      <c r="AD38" s="294"/>
      <c r="AE38" s="294"/>
      <c r="AF38" s="294"/>
      <c r="AG38" s="294"/>
      <c r="AH38" s="294"/>
      <c r="AI38" s="294"/>
      <c r="AJ38" s="294"/>
      <c r="AK38" s="294"/>
      <c r="AL38" s="294"/>
      <c r="AM38" s="294"/>
      <c r="AN38" s="294"/>
      <c r="AO38" s="294"/>
      <c r="AP38" s="294"/>
      <c r="AQ38" s="294"/>
    </row>
    <row r="39" spans="1:43" ht="29" customHeight="1" x14ac:dyDescent="0.25">
      <c r="B39" s="267">
        <v>28</v>
      </c>
      <c r="C39" s="267" t="s">
        <v>682</v>
      </c>
      <c r="D39" s="267"/>
      <c r="E39" s="268" t="s">
        <v>684</v>
      </c>
      <c r="F39" s="292">
        <f t="shared" si="0"/>
        <v>5</v>
      </c>
      <c r="G39" s="269">
        <v>45887</v>
      </c>
      <c r="H39" s="269">
        <v>45891</v>
      </c>
      <c r="I39" s="291" t="s">
        <v>361</v>
      </c>
      <c r="J39" s="267" t="s">
        <v>29</v>
      </c>
      <c r="K39" s="270">
        <v>0</v>
      </c>
      <c r="L39" s="271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Y39" s="294"/>
      <c r="Z39" s="294"/>
      <c r="AA39" s="294"/>
      <c r="AB39" s="275"/>
      <c r="AC39" s="294"/>
      <c r="AD39" s="294"/>
      <c r="AE39" s="294"/>
      <c r="AF39" s="294"/>
      <c r="AG39" s="294"/>
      <c r="AH39" s="294"/>
      <c r="AI39" s="294"/>
      <c r="AJ39" s="294"/>
      <c r="AK39" s="294"/>
      <c r="AL39" s="294"/>
      <c r="AM39" s="294"/>
      <c r="AN39" s="294"/>
      <c r="AO39" s="294"/>
      <c r="AP39" s="294"/>
      <c r="AQ39" s="294"/>
    </row>
    <row r="40" spans="1:43" ht="31" customHeight="1" x14ac:dyDescent="0.25">
      <c r="B40" s="267">
        <v>29</v>
      </c>
      <c r="C40" s="267" t="s">
        <v>682</v>
      </c>
      <c r="D40" s="267"/>
      <c r="E40" s="298" t="s">
        <v>686</v>
      </c>
      <c r="F40" s="292">
        <f t="shared" si="0"/>
        <v>14</v>
      </c>
      <c r="G40" s="269">
        <v>45894</v>
      </c>
      <c r="H40" s="269">
        <v>45907</v>
      </c>
      <c r="I40" s="291" t="s">
        <v>361</v>
      </c>
      <c r="J40" s="267" t="s">
        <v>29</v>
      </c>
      <c r="K40" s="270">
        <v>0</v>
      </c>
      <c r="L40" s="271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Y40" s="294"/>
      <c r="Z40" s="294"/>
      <c r="AA40" s="294"/>
      <c r="AB40" s="294"/>
      <c r="AC40" s="275"/>
      <c r="AD40" s="275"/>
      <c r="AE40" s="294"/>
      <c r="AF40" s="294"/>
      <c r="AG40" s="294"/>
      <c r="AH40" s="294"/>
      <c r="AI40" s="294"/>
      <c r="AJ40" s="294"/>
      <c r="AK40" s="294"/>
      <c r="AL40" s="294"/>
      <c r="AM40" s="294"/>
      <c r="AN40" s="294"/>
      <c r="AO40" s="294"/>
      <c r="AP40" s="294"/>
      <c r="AQ40" s="294"/>
    </row>
    <row r="41" spans="1:43" ht="28" customHeight="1" x14ac:dyDescent="0.25">
      <c r="B41" s="267">
        <v>30</v>
      </c>
      <c r="C41" s="267" t="s">
        <v>689</v>
      </c>
      <c r="D41" s="267"/>
      <c r="E41" s="268" t="s">
        <v>362</v>
      </c>
      <c r="F41" s="292">
        <f t="shared" si="0"/>
        <v>7</v>
      </c>
      <c r="G41" s="269">
        <v>45908</v>
      </c>
      <c r="H41" s="269">
        <v>45914</v>
      </c>
      <c r="I41" s="291" t="s">
        <v>707</v>
      </c>
      <c r="J41" s="267" t="s">
        <v>29</v>
      </c>
      <c r="K41" s="270">
        <v>0</v>
      </c>
      <c r="L41" s="271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Y41" s="294"/>
      <c r="Z41" s="294"/>
      <c r="AA41" s="294"/>
      <c r="AB41" s="294"/>
      <c r="AC41" s="294"/>
      <c r="AD41" s="294"/>
      <c r="AE41" s="275"/>
      <c r="AF41" s="294"/>
      <c r="AG41" s="294"/>
      <c r="AH41" s="294"/>
      <c r="AI41" s="294"/>
      <c r="AJ41" s="294"/>
      <c r="AK41" s="294"/>
      <c r="AL41" s="294"/>
      <c r="AM41" s="294"/>
      <c r="AN41" s="294"/>
      <c r="AO41" s="294"/>
      <c r="AP41" s="294"/>
      <c r="AQ41" s="294"/>
    </row>
    <row r="42" spans="1:43" ht="30" customHeight="1" x14ac:dyDescent="0.25">
      <c r="B42" s="267">
        <v>31</v>
      </c>
      <c r="C42" s="267" t="s">
        <v>689</v>
      </c>
      <c r="D42" s="267"/>
      <c r="E42" s="298" t="s">
        <v>687</v>
      </c>
      <c r="F42" s="292">
        <f t="shared" si="0"/>
        <v>7</v>
      </c>
      <c r="G42" s="269">
        <v>45915</v>
      </c>
      <c r="H42" s="269">
        <v>45921</v>
      </c>
      <c r="I42" s="291" t="s">
        <v>361</v>
      </c>
      <c r="J42" s="267" t="s">
        <v>29</v>
      </c>
      <c r="K42" s="270">
        <v>0</v>
      </c>
      <c r="L42" s="271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Y42" s="294"/>
      <c r="Z42" s="294"/>
      <c r="AA42" s="294"/>
      <c r="AB42" s="294"/>
      <c r="AC42" s="294"/>
      <c r="AD42" s="294"/>
      <c r="AE42" s="294"/>
      <c r="AF42" s="275"/>
      <c r="AG42" s="294"/>
      <c r="AH42" s="294"/>
      <c r="AI42" s="294"/>
      <c r="AJ42" s="294"/>
      <c r="AK42" s="294"/>
      <c r="AL42" s="294"/>
      <c r="AM42" s="294"/>
      <c r="AN42" s="294"/>
      <c r="AO42" s="294"/>
      <c r="AP42" s="294"/>
      <c r="AQ42" s="294"/>
    </row>
    <row r="43" spans="1:43" s="257" customFormat="1" ht="25" customHeight="1" x14ac:dyDescent="0.25">
      <c r="A43" s="256"/>
      <c r="B43" s="267">
        <v>33</v>
      </c>
      <c r="C43" s="267" t="s">
        <v>689</v>
      </c>
      <c r="D43" s="267"/>
      <c r="E43" s="295" t="s">
        <v>691</v>
      </c>
      <c r="F43" s="292">
        <f t="shared" si="0"/>
        <v>7</v>
      </c>
      <c r="G43" s="269">
        <v>45922</v>
      </c>
      <c r="H43" s="269">
        <v>45928</v>
      </c>
      <c r="I43" s="291" t="s">
        <v>361</v>
      </c>
      <c r="J43" s="267" t="s">
        <v>29</v>
      </c>
      <c r="K43" s="270">
        <v>0</v>
      </c>
      <c r="L43" s="271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Y43" s="294"/>
      <c r="Z43" s="294"/>
      <c r="AA43" s="294"/>
      <c r="AB43" s="294"/>
      <c r="AC43" s="294"/>
      <c r="AD43" s="294"/>
      <c r="AE43" s="294"/>
      <c r="AF43" s="294"/>
      <c r="AG43" s="275"/>
      <c r="AH43" s="294"/>
      <c r="AI43" s="294"/>
      <c r="AJ43" s="294"/>
      <c r="AK43" s="294"/>
      <c r="AL43" s="294"/>
      <c r="AM43" s="294"/>
      <c r="AN43" s="294"/>
      <c r="AO43" s="294"/>
      <c r="AP43" s="294"/>
      <c r="AQ43" s="294"/>
    </row>
    <row r="44" spans="1:43" s="257" customFormat="1" ht="25" customHeight="1" x14ac:dyDescent="0.25">
      <c r="A44" s="256"/>
      <c r="B44" s="267">
        <v>34</v>
      </c>
      <c r="C44" s="267" t="s">
        <v>689</v>
      </c>
      <c r="D44" s="267"/>
      <c r="E44" s="295" t="s">
        <v>692</v>
      </c>
      <c r="F44" s="292">
        <f t="shared" si="0"/>
        <v>2</v>
      </c>
      <c r="G44" s="269">
        <v>45929</v>
      </c>
      <c r="H44" s="269">
        <v>45930</v>
      </c>
      <c r="I44" s="291" t="s">
        <v>361</v>
      </c>
      <c r="J44" s="267" t="s">
        <v>29</v>
      </c>
      <c r="K44" s="270">
        <v>0</v>
      </c>
      <c r="L44" s="271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94"/>
      <c r="Z44" s="294"/>
      <c r="AA44" s="294"/>
      <c r="AB44" s="294"/>
      <c r="AC44" s="294"/>
      <c r="AD44" s="294"/>
      <c r="AE44" s="294"/>
      <c r="AF44" s="294"/>
      <c r="AG44" s="294"/>
      <c r="AH44" s="275"/>
      <c r="AI44" s="267"/>
      <c r="AJ44" s="267"/>
      <c r="AK44" s="267"/>
      <c r="AL44" s="267"/>
      <c r="AM44" s="267"/>
      <c r="AN44" s="267"/>
      <c r="AO44" s="267"/>
      <c r="AP44" s="267"/>
      <c r="AQ44" s="267"/>
    </row>
    <row r="45" spans="1:43" s="257" customFormat="1" ht="25" customHeight="1" x14ac:dyDescent="0.25">
      <c r="A45" s="256"/>
      <c r="B45" s="267">
        <v>35</v>
      </c>
      <c r="C45" s="267" t="s">
        <v>698</v>
      </c>
      <c r="D45" s="267"/>
      <c r="E45" s="299" t="s">
        <v>693</v>
      </c>
      <c r="F45" s="292">
        <f t="shared" si="0"/>
        <v>1</v>
      </c>
      <c r="G45" s="269">
        <v>45931</v>
      </c>
      <c r="H45" s="269">
        <v>45931</v>
      </c>
      <c r="I45" s="291" t="s">
        <v>361</v>
      </c>
      <c r="J45" s="267" t="s">
        <v>29</v>
      </c>
      <c r="K45" s="270">
        <v>0</v>
      </c>
      <c r="L45" s="271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294"/>
      <c r="Z45" s="294"/>
      <c r="AA45" s="294"/>
      <c r="AB45" s="294"/>
      <c r="AC45" s="294"/>
      <c r="AD45" s="294"/>
      <c r="AE45" s="294"/>
      <c r="AF45" s="294"/>
      <c r="AG45" s="294"/>
      <c r="AH45" s="275"/>
      <c r="AI45" s="294"/>
      <c r="AJ45" s="294"/>
      <c r="AK45" s="294"/>
      <c r="AL45" s="267"/>
      <c r="AM45" s="267"/>
      <c r="AN45" s="267"/>
      <c r="AO45" s="267"/>
      <c r="AP45" s="267"/>
      <c r="AQ45" s="267"/>
    </row>
    <row r="46" spans="1:43" s="257" customFormat="1" ht="14.5" x14ac:dyDescent="0.25">
      <c r="A46" s="256"/>
      <c r="B46" s="267">
        <v>36</v>
      </c>
      <c r="C46" s="267" t="s">
        <v>698</v>
      </c>
      <c r="D46" s="267"/>
      <c r="E46" s="295" t="s">
        <v>390</v>
      </c>
      <c r="F46" s="292">
        <f t="shared" si="0"/>
        <v>62</v>
      </c>
      <c r="G46" s="269">
        <v>45932</v>
      </c>
      <c r="H46" s="269">
        <v>45993</v>
      </c>
      <c r="I46" s="291" t="s">
        <v>361</v>
      </c>
      <c r="J46" s="267" t="s">
        <v>29</v>
      </c>
      <c r="K46" s="270">
        <v>0</v>
      </c>
      <c r="L46" s="271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94"/>
      <c r="Z46" s="294"/>
      <c r="AA46" s="294"/>
      <c r="AB46" s="294"/>
      <c r="AC46" s="294"/>
      <c r="AD46" s="294"/>
      <c r="AE46" s="294"/>
      <c r="AF46" s="294"/>
      <c r="AG46" s="294"/>
      <c r="AH46" s="275"/>
      <c r="AI46" s="275"/>
      <c r="AJ46" s="275"/>
      <c r="AK46" s="275"/>
      <c r="AL46" s="275"/>
      <c r="AM46" s="275"/>
      <c r="AN46" s="275"/>
      <c r="AO46" s="275"/>
      <c r="AP46" s="275"/>
      <c r="AQ46" s="275"/>
    </row>
    <row r="47" spans="1:43" s="257" customFormat="1" ht="14.5" x14ac:dyDescent="0.25">
      <c r="A47" s="256"/>
      <c r="E47" s="289"/>
      <c r="F47" s="290"/>
      <c r="G47" s="290"/>
      <c r="H47" s="290"/>
      <c r="I47" s="290"/>
      <c r="L47" s="260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56"/>
      <c r="Z47" s="256"/>
      <c r="AA47" s="256"/>
      <c r="AB47" s="256"/>
    </row>
    <row r="48" spans="1:43" s="257" customFormat="1" ht="14.5" x14ac:dyDescent="0.25">
      <c r="A48" s="256"/>
      <c r="E48" s="289"/>
      <c r="F48" s="290"/>
      <c r="G48" s="290"/>
      <c r="H48" s="290"/>
      <c r="I48" s="290"/>
      <c r="L48" s="260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56"/>
      <c r="Z48" s="256"/>
      <c r="AA48" s="256"/>
      <c r="AB48" s="256"/>
    </row>
    <row r="49" spans="1:28" s="257" customFormat="1" ht="14.5" x14ac:dyDescent="0.25">
      <c r="A49" s="256"/>
      <c r="E49" s="289"/>
      <c r="F49" s="290"/>
      <c r="G49" s="290"/>
      <c r="H49" s="290"/>
      <c r="I49" s="290"/>
      <c r="L49" s="260"/>
      <c r="M49" s="281"/>
      <c r="N49" s="281"/>
      <c r="O49" s="281"/>
      <c r="P49" s="281"/>
      <c r="Q49" s="281"/>
      <c r="R49" s="281"/>
      <c r="S49" s="281"/>
      <c r="T49" s="281"/>
      <c r="U49" s="281"/>
      <c r="V49" s="281"/>
      <c r="W49" s="281"/>
      <c r="X49" s="281"/>
      <c r="Y49" s="256"/>
      <c r="Z49" s="256"/>
      <c r="AA49" s="256"/>
      <c r="AB49" s="256"/>
    </row>
    <row r="50" spans="1:28" s="257" customFormat="1" ht="14.5" x14ac:dyDescent="0.25">
      <c r="A50" s="256"/>
      <c r="E50" s="289"/>
      <c r="F50" s="290"/>
      <c r="G50" s="290"/>
      <c r="H50" s="290"/>
      <c r="I50" s="290"/>
      <c r="L50" s="260"/>
      <c r="M50" s="281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56"/>
      <c r="Z50" s="256"/>
      <c r="AA50" s="256"/>
      <c r="AB50" s="256"/>
    </row>
    <row r="51" spans="1:28" s="257" customFormat="1" ht="14.5" x14ac:dyDescent="0.25">
      <c r="A51" s="256"/>
      <c r="E51" s="289"/>
      <c r="F51" s="290"/>
      <c r="G51" s="290"/>
      <c r="H51" s="290"/>
      <c r="I51" s="290"/>
      <c r="L51" s="260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56"/>
      <c r="Z51" s="256"/>
      <c r="AA51" s="256"/>
      <c r="AB51" s="256"/>
    </row>
    <row r="52" spans="1:28" s="257" customFormat="1" ht="14.5" x14ac:dyDescent="0.25">
      <c r="A52" s="256"/>
      <c r="E52" s="289"/>
      <c r="F52" s="290"/>
      <c r="G52" s="290"/>
      <c r="H52" s="290"/>
      <c r="I52" s="290"/>
      <c r="L52" s="260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56"/>
      <c r="Z52" s="256"/>
      <c r="AA52" s="256"/>
      <c r="AB52" s="256"/>
    </row>
    <row r="53" spans="1:28" s="257" customFormat="1" ht="14.5" x14ac:dyDescent="0.25">
      <c r="A53" s="256"/>
      <c r="E53" s="289"/>
      <c r="F53" s="290"/>
      <c r="G53" s="290"/>
      <c r="H53" s="290"/>
      <c r="I53" s="290"/>
      <c r="L53" s="260"/>
      <c r="M53" s="28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56"/>
      <c r="Z53" s="256"/>
      <c r="AA53" s="256"/>
      <c r="AB53" s="256"/>
    </row>
    <row r="54" spans="1:28" s="257" customFormat="1" ht="14.5" x14ac:dyDescent="0.25">
      <c r="A54" s="256"/>
      <c r="E54" s="289"/>
      <c r="F54" s="290"/>
      <c r="G54" s="290"/>
      <c r="H54" s="290"/>
      <c r="I54" s="290"/>
      <c r="J54" s="279" t="s">
        <v>609</v>
      </c>
      <c r="K54" s="280">
        <f>AVERAGE(K11:K28)</f>
        <v>3.3333333333333333E-2</v>
      </c>
      <c r="L54" s="260"/>
      <c r="M54" s="281"/>
      <c r="N54" s="281"/>
      <c r="O54" s="281"/>
      <c r="P54" s="281"/>
      <c r="Q54" s="281"/>
      <c r="R54" s="281"/>
      <c r="S54" s="281"/>
      <c r="T54" s="281"/>
      <c r="U54" s="281"/>
      <c r="V54" s="281"/>
      <c r="W54" s="281"/>
      <c r="X54" s="281"/>
      <c r="Y54" s="256"/>
      <c r="Z54" s="256"/>
      <c r="AA54" s="256"/>
      <c r="AB54" s="256"/>
    </row>
    <row r="55" spans="1:28" s="257" customFormat="1" ht="14.5" x14ac:dyDescent="0.25">
      <c r="A55" s="256"/>
      <c r="E55" s="289"/>
      <c r="F55" s="290"/>
      <c r="G55" s="290"/>
      <c r="H55" s="290"/>
      <c r="I55" s="290"/>
      <c r="J55" s="279" t="s">
        <v>610</v>
      </c>
      <c r="K55" s="282">
        <f>K56-K54</f>
        <v>0.96666666666666667</v>
      </c>
      <c r="L55" s="260"/>
      <c r="M55" s="28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56"/>
      <c r="Z55" s="256"/>
      <c r="AA55" s="256"/>
      <c r="AB55" s="256"/>
    </row>
    <row r="56" spans="1:28" s="257" customFormat="1" ht="14.5" x14ac:dyDescent="0.3">
      <c r="A56" s="256"/>
      <c r="E56" s="289"/>
      <c r="F56" s="290"/>
      <c r="G56" s="290"/>
      <c r="H56" s="290"/>
      <c r="I56" s="290"/>
      <c r="J56" s="283" t="s">
        <v>637</v>
      </c>
      <c r="K56" s="284">
        <v>1</v>
      </c>
      <c r="L56" s="260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56"/>
      <c r="Z56" s="256"/>
      <c r="AA56" s="256"/>
      <c r="AB56" s="256"/>
    </row>
    <row r="57" spans="1:28" s="257" customFormat="1" ht="14.5" x14ac:dyDescent="0.3">
      <c r="A57" s="256"/>
      <c r="E57" s="289"/>
      <c r="F57" s="290"/>
      <c r="G57" s="290"/>
      <c r="H57" s="290"/>
      <c r="I57" s="290"/>
      <c r="J57" s="256"/>
      <c r="K57" s="286"/>
      <c r="L57" s="260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56"/>
      <c r="Z57" s="256"/>
      <c r="AA57" s="256"/>
      <c r="AB57" s="256"/>
    </row>
    <row r="58" spans="1:28" x14ac:dyDescent="0.3">
      <c r="J58" s="256"/>
      <c r="K58" s="286"/>
    </row>
    <row r="59" spans="1:28" x14ac:dyDescent="0.3">
      <c r="J59" s="256"/>
      <c r="K59" s="286"/>
    </row>
    <row r="60" spans="1:28" x14ac:dyDescent="0.3">
      <c r="J60" s="256"/>
      <c r="K60" s="286"/>
    </row>
    <row r="61" spans="1:28" ht="12.5" x14ac:dyDescent="0.25">
      <c r="J61" s="285" t="s">
        <v>29</v>
      </c>
      <c r="K61" s="275"/>
    </row>
    <row r="62" spans="1:28" ht="12.5" x14ac:dyDescent="0.25">
      <c r="J62" s="287" t="s">
        <v>609</v>
      </c>
      <c r="K62" s="274"/>
    </row>
    <row r="63" spans="1:28" ht="12.5" x14ac:dyDescent="0.25">
      <c r="J63" s="285" t="s">
        <v>610</v>
      </c>
      <c r="K63" s="278"/>
    </row>
    <row r="64" spans="1:28" ht="12.5" x14ac:dyDescent="0.25">
      <c r="J64" s="285" t="s">
        <v>31</v>
      </c>
      <c r="K64" s="273"/>
    </row>
    <row r="65" spans="10:11" ht="12.5" x14ac:dyDescent="0.25">
      <c r="J65" s="285" t="s">
        <v>30</v>
      </c>
      <c r="K65" s="288"/>
    </row>
    <row r="1040904" spans="5:5" x14ac:dyDescent="0.25">
      <c r="E1040904" s="293"/>
    </row>
    <row r="1048575" spans="3:3" x14ac:dyDescent="0.25">
      <c r="C1048575" s="267" t="s">
        <v>612</v>
      </c>
    </row>
  </sheetData>
  <mergeCells count="8">
    <mergeCell ref="AD9:AG9"/>
    <mergeCell ref="AH9:AK9"/>
    <mergeCell ref="AL9:AO9"/>
    <mergeCell ref="B2:X6"/>
    <mergeCell ref="M9:P9"/>
    <mergeCell ref="Q9:T9"/>
    <mergeCell ref="U9:X9"/>
    <mergeCell ref="Y9:AC9"/>
  </mergeCells>
  <phoneticPr fontId="7" type="noConversion"/>
  <pageMargins left="0.7" right="0.7" top="0.75" bottom="0.75" header="0.3" footer="0.3"/>
  <pageSetup paperSize="9" scale="59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8302-4329-ED4C-ABCE-344D47E9F9F3}">
  <dimension ref="B1:BZ104"/>
  <sheetViews>
    <sheetView showGridLines="0" workbookViewId="0">
      <selection activeCell="N94" sqref="N94"/>
    </sheetView>
  </sheetViews>
  <sheetFormatPr baseColWidth="10" defaultColWidth="12.6328125" defaultRowHeight="14.5" x14ac:dyDescent="0.35"/>
  <cols>
    <col min="1" max="1" width="3.6328125" customWidth="1"/>
    <col min="2" max="2" width="12" customWidth="1"/>
    <col min="3" max="3" width="60.453125" customWidth="1"/>
    <col min="4" max="4" width="33" customWidth="1"/>
    <col min="5" max="5" width="10.1796875" style="245" customWidth="1"/>
    <col min="6" max="6" width="11.6328125" style="245" customWidth="1"/>
    <col min="7" max="7" width="13.453125" style="245" customWidth="1"/>
    <col min="8" max="8" width="10.36328125" customWidth="1"/>
    <col min="9" max="9" width="14.453125" customWidth="1"/>
    <col min="10" max="10" width="10.453125" customWidth="1"/>
    <col min="11" max="11" width="10.36328125" style="245" customWidth="1"/>
    <col min="12" max="14" width="12.453125" customWidth="1"/>
    <col min="15" max="15" width="11.1796875" customWidth="1"/>
    <col min="16" max="16" width="20.6328125" customWidth="1"/>
    <col min="17" max="17" width="6.81640625" customWidth="1"/>
    <col min="18" max="76" width="4.453125" customWidth="1"/>
    <col min="77" max="77" width="1.1796875" customWidth="1"/>
    <col min="78" max="78" width="9.36328125" style="60" customWidth="1"/>
    <col min="79" max="79" width="3.6328125" customWidth="1"/>
  </cols>
  <sheetData>
    <row r="1" spans="2:78" s="60" customFormat="1" ht="23" thickBot="1" x14ac:dyDescent="0.4">
      <c r="B1" s="54" t="s">
        <v>400</v>
      </c>
      <c r="C1" s="55"/>
      <c r="D1" s="55"/>
      <c r="E1" s="56"/>
      <c r="F1" s="56"/>
      <c r="G1" s="56"/>
      <c r="H1" s="57"/>
      <c r="I1" s="58"/>
      <c r="J1" s="57"/>
      <c r="K1" s="56"/>
      <c r="L1" s="55"/>
      <c r="M1" s="55"/>
      <c r="N1" s="55"/>
      <c r="O1" s="55"/>
      <c r="P1" s="55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</row>
    <row r="2" spans="2:78" ht="19.5" x14ac:dyDescent="0.35">
      <c r="B2" s="58"/>
      <c r="C2" s="58"/>
      <c r="D2" s="58"/>
      <c r="E2" s="61"/>
      <c r="F2" s="61"/>
      <c r="G2" s="61"/>
      <c r="H2" s="58"/>
      <c r="I2" s="58"/>
      <c r="J2" s="58"/>
      <c r="K2" s="61"/>
      <c r="L2" s="58"/>
      <c r="M2" s="62"/>
      <c r="N2" s="58"/>
      <c r="O2" s="338" t="s">
        <v>401</v>
      </c>
      <c r="P2" s="63" t="s">
        <v>402</v>
      </c>
      <c r="Q2" s="64"/>
      <c r="R2" s="64"/>
      <c r="S2" s="64"/>
      <c r="T2" s="64"/>
      <c r="U2" s="64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7"/>
      <c r="BY2" s="68"/>
      <c r="BZ2" s="59"/>
    </row>
    <row r="3" spans="2:78" ht="19.5" x14ac:dyDescent="0.35">
      <c r="B3" s="58"/>
      <c r="C3" s="58"/>
      <c r="D3" s="58"/>
      <c r="E3" s="61"/>
      <c r="F3" s="61"/>
      <c r="G3" s="61"/>
      <c r="H3" s="58"/>
      <c r="I3" s="58"/>
      <c r="J3" s="58"/>
      <c r="K3" s="61"/>
      <c r="L3" s="58"/>
      <c r="M3" s="62"/>
      <c r="N3" s="58"/>
      <c r="O3" s="339"/>
      <c r="P3" s="69" t="s">
        <v>403</v>
      </c>
      <c r="Q3" s="70"/>
      <c r="R3" s="70"/>
      <c r="S3" s="70"/>
      <c r="T3" s="71"/>
      <c r="U3" s="71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4"/>
      <c r="BY3" s="68"/>
      <c r="BZ3" s="59"/>
    </row>
    <row r="4" spans="2:78" ht="19.5" x14ac:dyDescent="0.35">
      <c r="B4" s="75"/>
      <c r="C4" s="55"/>
      <c r="D4" s="55"/>
      <c r="E4" s="56"/>
      <c r="F4" s="56"/>
      <c r="G4" s="56"/>
      <c r="H4" s="57"/>
      <c r="I4" s="57"/>
      <c r="J4" s="57"/>
      <c r="K4" s="56"/>
      <c r="L4" s="75"/>
      <c r="M4" s="55"/>
      <c r="N4" s="55"/>
      <c r="O4" s="339"/>
      <c r="P4" s="76" t="s">
        <v>404</v>
      </c>
      <c r="Q4" s="70"/>
      <c r="R4" s="70"/>
      <c r="T4" s="71"/>
      <c r="U4" s="71"/>
      <c r="V4" s="73"/>
      <c r="W4" s="73"/>
      <c r="X4" s="73"/>
      <c r="Y4" s="73"/>
      <c r="Z4" s="73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4"/>
      <c r="BY4" s="68"/>
      <c r="BZ4" s="59"/>
    </row>
    <row r="5" spans="2:78" ht="19.5" x14ac:dyDescent="0.35">
      <c r="B5" s="75"/>
      <c r="C5" s="55"/>
      <c r="D5" s="55"/>
      <c r="E5" s="56"/>
      <c r="F5" s="56"/>
      <c r="G5" s="56"/>
      <c r="H5" s="57"/>
      <c r="I5" s="57"/>
      <c r="J5" s="57"/>
      <c r="K5" s="56"/>
      <c r="L5" s="75"/>
      <c r="M5" s="55"/>
      <c r="N5" s="55"/>
      <c r="O5" s="339"/>
      <c r="P5" s="78" t="s">
        <v>405</v>
      </c>
      <c r="Q5" s="70"/>
      <c r="R5" s="70"/>
      <c r="S5" s="70"/>
      <c r="U5" s="71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9"/>
      <c r="BF5" s="79"/>
      <c r="BG5" s="79"/>
      <c r="BH5" s="79"/>
      <c r="BI5" s="79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4"/>
      <c r="BY5" s="68"/>
      <c r="BZ5" s="59"/>
    </row>
    <row r="6" spans="2:78" ht="20" thickBot="1" x14ac:dyDescent="0.4">
      <c r="B6" s="75"/>
      <c r="C6" s="55"/>
      <c r="D6" s="55"/>
      <c r="E6" s="56"/>
      <c r="F6" s="56"/>
      <c r="G6" s="56"/>
      <c r="H6" s="57"/>
      <c r="I6" s="57"/>
      <c r="J6" s="57"/>
      <c r="K6" s="56"/>
      <c r="L6" s="75"/>
      <c r="M6" s="55"/>
      <c r="N6" s="55"/>
      <c r="O6" s="340"/>
      <c r="P6" s="80" t="s">
        <v>406</v>
      </c>
      <c r="Q6" s="70"/>
      <c r="R6" s="70"/>
      <c r="S6" s="70"/>
      <c r="T6" s="71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68"/>
      <c r="BZ6" s="59"/>
    </row>
    <row r="7" spans="2:78" ht="16.5" thickBot="1" x14ac:dyDescent="0.4">
      <c r="B7" s="341" t="s">
        <v>407</v>
      </c>
      <c r="C7" s="343" t="s">
        <v>408</v>
      </c>
      <c r="D7" s="345" t="s">
        <v>409</v>
      </c>
      <c r="E7" s="347" t="s">
        <v>410</v>
      </c>
      <c r="F7" s="347" t="s">
        <v>411</v>
      </c>
      <c r="G7" s="349" t="s">
        <v>412</v>
      </c>
      <c r="H7" s="350" t="s">
        <v>413</v>
      </c>
      <c r="I7" s="351"/>
      <c r="J7" s="352"/>
      <c r="K7" s="353" t="s">
        <v>414</v>
      </c>
      <c r="L7" s="355" t="s">
        <v>415</v>
      </c>
      <c r="M7" s="331" t="s">
        <v>416</v>
      </c>
      <c r="N7" s="333" t="s">
        <v>417</v>
      </c>
      <c r="O7" s="334" t="s">
        <v>418</v>
      </c>
      <c r="P7" s="335" t="s">
        <v>419</v>
      </c>
      <c r="Q7" s="337" t="s">
        <v>420</v>
      </c>
      <c r="R7" s="319"/>
      <c r="S7" s="319"/>
      <c r="T7" s="319"/>
      <c r="U7" s="320"/>
      <c r="V7" s="326" t="s">
        <v>421</v>
      </c>
      <c r="W7" s="319"/>
      <c r="X7" s="319"/>
      <c r="Y7" s="319"/>
      <c r="Z7" s="320"/>
      <c r="AA7" s="326" t="s">
        <v>422</v>
      </c>
      <c r="AB7" s="319"/>
      <c r="AC7" s="319"/>
      <c r="AD7" s="319"/>
      <c r="AE7" s="320"/>
      <c r="AF7" s="327" t="s">
        <v>423</v>
      </c>
      <c r="AG7" s="319"/>
      <c r="AH7" s="319"/>
      <c r="AI7" s="319"/>
      <c r="AJ7" s="320"/>
      <c r="AK7" s="327" t="s">
        <v>424</v>
      </c>
      <c r="AL7" s="319"/>
      <c r="AM7" s="319"/>
      <c r="AN7" s="319"/>
      <c r="AO7" s="320"/>
      <c r="AP7" s="327" t="s">
        <v>425</v>
      </c>
      <c r="AQ7" s="319"/>
      <c r="AR7" s="319"/>
      <c r="AS7" s="319"/>
      <c r="AT7" s="320"/>
      <c r="AU7" s="328" t="s">
        <v>426</v>
      </c>
      <c r="AV7" s="329"/>
      <c r="AW7" s="329"/>
      <c r="AX7" s="329"/>
      <c r="AY7" s="330"/>
      <c r="AZ7" s="318" t="s">
        <v>427</v>
      </c>
      <c r="BA7" s="319"/>
      <c r="BB7" s="319"/>
      <c r="BC7" s="319"/>
      <c r="BD7" s="320"/>
      <c r="BE7" s="318" t="s">
        <v>428</v>
      </c>
      <c r="BF7" s="319"/>
      <c r="BG7" s="319"/>
      <c r="BH7" s="319"/>
      <c r="BI7" s="320"/>
      <c r="BJ7" s="321" t="s">
        <v>429</v>
      </c>
      <c r="BK7" s="319"/>
      <c r="BL7" s="319"/>
      <c r="BM7" s="319"/>
      <c r="BN7" s="320"/>
      <c r="BO7" s="322" t="s">
        <v>430</v>
      </c>
      <c r="BP7" s="319"/>
      <c r="BQ7" s="319"/>
      <c r="BR7" s="319"/>
      <c r="BS7" s="320"/>
      <c r="BT7" s="322" t="s">
        <v>431</v>
      </c>
      <c r="BU7" s="319"/>
      <c r="BV7" s="319"/>
      <c r="BW7" s="319"/>
      <c r="BX7" s="320"/>
      <c r="BY7" s="68"/>
      <c r="BZ7" s="59"/>
    </row>
    <row r="8" spans="2:78" ht="17" thickTop="1" thickBot="1" x14ac:dyDescent="0.4">
      <c r="B8" s="342"/>
      <c r="C8" s="344"/>
      <c r="D8" s="346"/>
      <c r="E8" s="348"/>
      <c r="F8" s="348"/>
      <c r="G8" s="349"/>
      <c r="H8" s="82" t="s">
        <v>432</v>
      </c>
      <c r="I8" s="83" t="s">
        <v>433</v>
      </c>
      <c r="J8" s="84" t="s">
        <v>434</v>
      </c>
      <c r="K8" s="354"/>
      <c r="L8" s="320"/>
      <c r="M8" s="332"/>
      <c r="N8" s="334"/>
      <c r="O8" s="332"/>
      <c r="P8" s="336"/>
      <c r="Q8" s="85" t="s">
        <v>435</v>
      </c>
      <c r="R8" s="86" t="s">
        <v>436</v>
      </c>
      <c r="S8" s="86" t="s">
        <v>437</v>
      </c>
      <c r="T8" s="86" t="s">
        <v>438</v>
      </c>
      <c r="U8" s="86" t="s">
        <v>439</v>
      </c>
      <c r="V8" s="85" t="s">
        <v>435</v>
      </c>
      <c r="W8" s="86" t="s">
        <v>436</v>
      </c>
      <c r="X8" s="86" t="s">
        <v>437</v>
      </c>
      <c r="Y8" s="86" t="s">
        <v>438</v>
      </c>
      <c r="Z8" s="86" t="s">
        <v>439</v>
      </c>
      <c r="AA8" s="85" t="s">
        <v>435</v>
      </c>
      <c r="AB8" s="86" t="s">
        <v>436</v>
      </c>
      <c r="AC8" s="86" t="s">
        <v>437</v>
      </c>
      <c r="AD8" s="86" t="s">
        <v>438</v>
      </c>
      <c r="AE8" s="86" t="s">
        <v>439</v>
      </c>
      <c r="AF8" s="87" t="s">
        <v>435</v>
      </c>
      <c r="AG8" s="88" t="s">
        <v>436</v>
      </c>
      <c r="AH8" s="88" t="s">
        <v>437</v>
      </c>
      <c r="AI8" s="88" t="s">
        <v>438</v>
      </c>
      <c r="AJ8" s="88" t="s">
        <v>439</v>
      </c>
      <c r="AK8" s="87" t="s">
        <v>435</v>
      </c>
      <c r="AL8" s="88" t="s">
        <v>436</v>
      </c>
      <c r="AM8" s="88" t="s">
        <v>437</v>
      </c>
      <c r="AN8" s="88" t="s">
        <v>438</v>
      </c>
      <c r="AO8" s="88" t="s">
        <v>439</v>
      </c>
      <c r="AP8" s="88" t="s">
        <v>435</v>
      </c>
      <c r="AQ8" s="88" t="s">
        <v>436</v>
      </c>
      <c r="AR8" s="88" t="s">
        <v>437</v>
      </c>
      <c r="AS8" s="88" t="s">
        <v>438</v>
      </c>
      <c r="AT8" s="89" t="s">
        <v>439</v>
      </c>
      <c r="AU8" s="90" t="s">
        <v>435</v>
      </c>
      <c r="AV8" s="91" t="s">
        <v>436</v>
      </c>
      <c r="AW8" s="91" t="s">
        <v>437</v>
      </c>
      <c r="AX8" s="91" t="s">
        <v>438</v>
      </c>
      <c r="AY8" s="91" t="s">
        <v>439</v>
      </c>
      <c r="AZ8" s="91" t="s">
        <v>435</v>
      </c>
      <c r="BA8" s="91" t="s">
        <v>436</v>
      </c>
      <c r="BB8" s="91" t="s">
        <v>437</v>
      </c>
      <c r="BC8" s="91" t="s">
        <v>438</v>
      </c>
      <c r="BD8" s="91" t="s">
        <v>439</v>
      </c>
      <c r="BE8" s="91" t="s">
        <v>436</v>
      </c>
      <c r="BF8" s="91" t="s">
        <v>440</v>
      </c>
      <c r="BG8" s="91" t="s">
        <v>441</v>
      </c>
      <c r="BH8" s="91" t="s">
        <v>442</v>
      </c>
      <c r="BI8" s="92" t="s">
        <v>443</v>
      </c>
      <c r="BJ8" s="93" t="s">
        <v>436</v>
      </c>
      <c r="BK8" s="94" t="s">
        <v>440</v>
      </c>
      <c r="BL8" s="94" t="s">
        <v>441</v>
      </c>
      <c r="BM8" s="94" t="s">
        <v>442</v>
      </c>
      <c r="BN8" s="94" t="s">
        <v>443</v>
      </c>
      <c r="BO8" s="94" t="s">
        <v>436</v>
      </c>
      <c r="BP8" s="94" t="s">
        <v>440</v>
      </c>
      <c r="BQ8" s="94" t="s">
        <v>441</v>
      </c>
      <c r="BR8" s="94" t="s">
        <v>442</v>
      </c>
      <c r="BS8" s="94" t="s">
        <v>443</v>
      </c>
      <c r="BT8" s="94" t="s">
        <v>436</v>
      </c>
      <c r="BU8" s="94" t="s">
        <v>440</v>
      </c>
      <c r="BV8" s="94" t="s">
        <v>441</v>
      </c>
      <c r="BW8" s="94" t="s">
        <v>442</v>
      </c>
      <c r="BX8" s="95" t="s">
        <v>443</v>
      </c>
      <c r="BY8" s="68"/>
      <c r="BZ8" s="59"/>
    </row>
    <row r="9" spans="2:78" ht="27.75" customHeight="1" thickTop="1" x14ac:dyDescent="0.35">
      <c r="B9" s="96">
        <v>1</v>
      </c>
      <c r="C9" s="323" t="s">
        <v>444</v>
      </c>
      <c r="D9" s="324"/>
      <c r="E9" s="324"/>
      <c r="F9" s="325"/>
      <c r="G9" s="97"/>
      <c r="H9" s="98">
        <f>SUM(H10:H16)</f>
        <v>0.39583333333333331</v>
      </c>
      <c r="I9" s="98">
        <f>SUM(I10:I16)</f>
        <v>0.5</v>
      </c>
      <c r="J9" s="99">
        <f>SUM(J10:J16)</f>
        <v>0.10416666666666667</v>
      </c>
      <c r="K9" s="100"/>
      <c r="L9" s="101"/>
      <c r="M9" s="102"/>
      <c r="N9" s="102"/>
      <c r="O9" s="103"/>
      <c r="P9" s="104">
        <f t="shared" ref="P9:P42" si="0">IFERROR(I9/H9,"")</f>
        <v>1.2631578947368423</v>
      </c>
      <c r="Q9" s="103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6"/>
      <c r="AF9" s="107"/>
      <c r="AG9" s="105"/>
      <c r="AH9" s="105"/>
      <c r="AI9" s="105"/>
      <c r="AJ9" s="105"/>
      <c r="AK9" s="107"/>
      <c r="AL9" s="105"/>
      <c r="AM9" s="105"/>
      <c r="AN9" s="105"/>
      <c r="AO9" s="105"/>
      <c r="AP9" s="105"/>
      <c r="AQ9" s="105"/>
      <c r="AR9" s="105"/>
      <c r="AS9" s="105"/>
      <c r="AT9" s="106"/>
      <c r="AU9" s="107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6"/>
      <c r="BJ9" s="107"/>
      <c r="BK9" s="105"/>
      <c r="BL9" s="105"/>
      <c r="BM9" s="105"/>
      <c r="BN9" s="105"/>
      <c r="BO9" s="105"/>
      <c r="BP9" s="105"/>
      <c r="BQ9" s="105"/>
      <c r="BR9" s="105"/>
      <c r="BS9" s="105"/>
      <c r="BT9" s="105"/>
      <c r="BU9" s="105"/>
      <c r="BV9" s="105"/>
      <c r="BW9" s="105"/>
      <c r="BX9" s="106"/>
      <c r="BY9" s="68"/>
      <c r="BZ9" s="59"/>
    </row>
    <row r="10" spans="2:78" ht="16" x14ac:dyDescent="0.35">
      <c r="B10" s="108">
        <v>1.1000000000000001</v>
      </c>
      <c r="C10" s="109" t="s">
        <v>445</v>
      </c>
      <c r="D10" s="110" t="s">
        <v>446</v>
      </c>
      <c r="E10" s="111" t="s">
        <v>447</v>
      </c>
      <c r="F10" s="111" t="s">
        <v>448</v>
      </c>
      <c r="G10" s="112" t="s">
        <v>449</v>
      </c>
      <c r="H10" s="113">
        <v>4.1666666666666664E-2</v>
      </c>
      <c r="I10" s="113">
        <v>4.1666666666666664E-2</v>
      </c>
      <c r="J10" s="114">
        <f t="shared" ref="J10:J15" si="1">H10-I10</f>
        <v>0</v>
      </c>
      <c r="K10" s="115">
        <v>1</v>
      </c>
      <c r="L10" s="116">
        <v>45719</v>
      </c>
      <c r="M10" s="116">
        <v>45719</v>
      </c>
      <c r="N10" s="116"/>
      <c r="O10" s="117">
        <f t="shared" ref="O10:O16" si="2">M10-L10+1</f>
        <v>1</v>
      </c>
      <c r="P10" s="118">
        <f t="shared" si="0"/>
        <v>1</v>
      </c>
      <c r="Q10" s="103"/>
      <c r="R10" s="119"/>
      <c r="S10" s="119"/>
      <c r="T10" s="119"/>
      <c r="U10" s="119"/>
      <c r="V10" s="119"/>
      <c r="W10" s="119"/>
      <c r="X10" s="119"/>
      <c r="Y10" s="119"/>
      <c r="Z10" s="120"/>
      <c r="AA10" s="119"/>
      <c r="AB10" s="119"/>
      <c r="AC10" s="119"/>
      <c r="AD10" s="119"/>
      <c r="AE10" s="120"/>
      <c r="AF10" s="121"/>
      <c r="AG10" s="119"/>
      <c r="AH10" s="119"/>
      <c r="AI10" s="119"/>
      <c r="AJ10" s="119"/>
      <c r="AK10" s="121"/>
      <c r="AL10" s="119"/>
      <c r="AM10" s="119"/>
      <c r="AN10" s="119"/>
      <c r="AO10" s="119"/>
      <c r="AP10" s="119"/>
      <c r="AQ10" s="119"/>
      <c r="AR10" s="119"/>
      <c r="AS10" s="119"/>
      <c r="AT10" s="120"/>
      <c r="AU10" s="121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20"/>
      <c r="BJ10" s="121"/>
      <c r="BK10" s="119"/>
      <c r="BL10" s="119"/>
      <c r="BM10" s="119"/>
      <c r="BN10" s="119"/>
      <c r="BO10" s="119"/>
      <c r="BP10" s="119"/>
      <c r="BQ10" s="119"/>
      <c r="BR10" s="119"/>
      <c r="BS10" s="119"/>
      <c r="BT10" s="119"/>
      <c r="BU10" s="119"/>
      <c r="BV10" s="119"/>
      <c r="BW10" s="119"/>
      <c r="BX10" s="120"/>
      <c r="BY10" s="68"/>
      <c r="BZ10" s="59"/>
    </row>
    <row r="11" spans="2:78" ht="16" x14ac:dyDescent="0.35">
      <c r="B11" s="108" t="s">
        <v>49</v>
      </c>
      <c r="C11" s="109" t="s">
        <v>450</v>
      </c>
      <c r="D11" s="110" t="s">
        <v>446</v>
      </c>
      <c r="E11" s="111" t="s">
        <v>447</v>
      </c>
      <c r="F11" s="111" t="s">
        <v>448</v>
      </c>
      <c r="G11" s="112" t="s">
        <v>449</v>
      </c>
      <c r="H11" s="113">
        <v>4.1666666666666664E-2</v>
      </c>
      <c r="I11" s="113">
        <v>4.1666666666666664E-2</v>
      </c>
      <c r="J11" s="114">
        <f t="shared" si="1"/>
        <v>0</v>
      </c>
      <c r="K11" s="115">
        <v>1</v>
      </c>
      <c r="L11" s="116">
        <v>45719</v>
      </c>
      <c r="M11" s="116">
        <v>45719</v>
      </c>
      <c r="N11" s="116"/>
      <c r="O11" s="117">
        <f t="shared" si="2"/>
        <v>1</v>
      </c>
      <c r="P11" s="118">
        <f t="shared" si="0"/>
        <v>1</v>
      </c>
      <c r="Q11" s="103"/>
      <c r="R11" s="119"/>
      <c r="S11" s="119"/>
      <c r="T11" s="119"/>
      <c r="U11" s="119"/>
      <c r="V11" s="119"/>
      <c r="W11" s="119"/>
      <c r="X11" s="119"/>
      <c r="Y11" s="119"/>
      <c r="Z11" s="120"/>
      <c r="AA11" s="119"/>
      <c r="AB11" s="119"/>
      <c r="AC11" s="119"/>
      <c r="AD11" s="119"/>
      <c r="AE11" s="120"/>
      <c r="AF11" s="121"/>
      <c r="AG11" s="119"/>
      <c r="AH11" s="119"/>
      <c r="AI11" s="119"/>
      <c r="AJ11" s="119"/>
      <c r="AK11" s="121"/>
      <c r="AL11" s="119"/>
      <c r="AM11" s="119"/>
      <c r="AN11" s="119"/>
      <c r="AO11" s="119"/>
      <c r="AP11" s="119"/>
      <c r="AQ11" s="119"/>
      <c r="AR11" s="119"/>
      <c r="AS11" s="119"/>
      <c r="AT11" s="120"/>
      <c r="AU11" s="121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20"/>
      <c r="BJ11" s="121"/>
      <c r="BK11" s="119"/>
      <c r="BL11" s="119"/>
      <c r="BM11" s="119"/>
      <c r="BN11" s="119"/>
      <c r="BO11" s="119"/>
      <c r="BP11" s="119"/>
      <c r="BQ11" s="119"/>
      <c r="BR11" s="119"/>
      <c r="BS11" s="119"/>
      <c r="BT11" s="119"/>
      <c r="BU11" s="119"/>
      <c r="BV11" s="119"/>
      <c r="BW11" s="119"/>
      <c r="BX11" s="120"/>
      <c r="BY11" s="68"/>
      <c r="BZ11" s="59"/>
    </row>
    <row r="12" spans="2:78" ht="16" x14ac:dyDescent="0.35">
      <c r="B12" s="108">
        <v>1.2</v>
      </c>
      <c r="C12" s="109" t="s">
        <v>451</v>
      </c>
      <c r="D12" s="110" t="s">
        <v>446</v>
      </c>
      <c r="E12" s="111" t="s">
        <v>447</v>
      </c>
      <c r="F12" s="111" t="s">
        <v>448</v>
      </c>
      <c r="G12" s="112" t="s">
        <v>449</v>
      </c>
      <c r="H12" s="113">
        <v>4.1666666666666664E-2</v>
      </c>
      <c r="I12" s="113">
        <v>4.1666666666666664E-2</v>
      </c>
      <c r="J12" s="114">
        <f t="shared" si="1"/>
        <v>0</v>
      </c>
      <c r="K12" s="115">
        <v>1</v>
      </c>
      <c r="L12" s="116">
        <v>45719</v>
      </c>
      <c r="M12" s="116">
        <v>45719</v>
      </c>
      <c r="N12" s="116"/>
      <c r="O12" s="117">
        <f t="shared" si="2"/>
        <v>1</v>
      </c>
      <c r="P12" s="118">
        <f t="shared" si="0"/>
        <v>1</v>
      </c>
      <c r="Q12" s="103"/>
      <c r="R12" s="119"/>
      <c r="S12" s="119"/>
      <c r="T12" s="119"/>
      <c r="U12" s="119"/>
      <c r="V12" s="119"/>
      <c r="W12" s="119"/>
      <c r="X12" s="119"/>
      <c r="Y12" s="119"/>
      <c r="Z12" s="120"/>
      <c r="AA12" s="119"/>
      <c r="AB12" s="119"/>
      <c r="AC12" s="119"/>
      <c r="AD12" s="119"/>
      <c r="AE12" s="120"/>
      <c r="AF12" s="121"/>
      <c r="AG12" s="119"/>
      <c r="AH12" s="119"/>
      <c r="AI12" s="119"/>
      <c r="AJ12" s="119"/>
      <c r="AK12" s="121"/>
      <c r="AL12" s="119"/>
      <c r="AM12" s="119"/>
      <c r="AN12" s="119"/>
      <c r="AO12" s="119"/>
      <c r="AP12" s="119"/>
      <c r="AQ12" s="119"/>
      <c r="AR12" s="119"/>
      <c r="AS12" s="119"/>
      <c r="AT12" s="120"/>
      <c r="AU12" s="121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20"/>
      <c r="BJ12" s="121"/>
      <c r="BK12" s="119"/>
      <c r="BL12" s="119"/>
      <c r="BM12" s="119"/>
      <c r="BN12" s="119"/>
      <c r="BO12" s="119"/>
      <c r="BP12" s="119"/>
      <c r="BQ12" s="119"/>
      <c r="BR12" s="119"/>
      <c r="BS12" s="119"/>
      <c r="BT12" s="119"/>
      <c r="BU12" s="119"/>
      <c r="BV12" s="119"/>
      <c r="BW12" s="119"/>
      <c r="BX12" s="120"/>
      <c r="BY12" s="68"/>
      <c r="BZ12" s="59"/>
    </row>
    <row r="13" spans="2:78" ht="16" x14ac:dyDescent="0.35">
      <c r="B13" s="108">
        <v>1.3</v>
      </c>
      <c r="C13" s="109" t="s">
        <v>452</v>
      </c>
      <c r="D13" s="110" t="s">
        <v>446</v>
      </c>
      <c r="E13" s="111" t="s">
        <v>447</v>
      </c>
      <c r="F13" s="111" t="s">
        <v>448</v>
      </c>
      <c r="G13" s="112" t="s">
        <v>449</v>
      </c>
      <c r="H13" s="113">
        <v>4.1666666666666664E-2</v>
      </c>
      <c r="I13" s="113">
        <v>4.1666666666666664E-2</v>
      </c>
      <c r="J13" s="114">
        <f t="shared" si="1"/>
        <v>0</v>
      </c>
      <c r="K13" s="115">
        <v>1</v>
      </c>
      <c r="L13" s="116">
        <v>45719</v>
      </c>
      <c r="M13" s="116">
        <v>45719</v>
      </c>
      <c r="N13" s="116"/>
      <c r="O13" s="117">
        <f t="shared" si="2"/>
        <v>1</v>
      </c>
      <c r="P13" s="118">
        <f t="shared" si="0"/>
        <v>1</v>
      </c>
      <c r="Q13" s="103"/>
      <c r="R13" s="119"/>
      <c r="S13" s="119"/>
      <c r="T13" s="119"/>
      <c r="U13" s="119"/>
      <c r="V13" s="119"/>
      <c r="W13" s="119"/>
      <c r="X13" s="119"/>
      <c r="Y13" s="119"/>
      <c r="Z13" s="120"/>
      <c r="AA13" s="119"/>
      <c r="AB13" s="119"/>
      <c r="AC13" s="119"/>
      <c r="AD13" s="119"/>
      <c r="AE13" s="120"/>
      <c r="AF13" s="121"/>
      <c r="AG13" s="119"/>
      <c r="AH13" s="119"/>
      <c r="AI13" s="119"/>
      <c r="AJ13" s="119"/>
      <c r="AK13" s="121"/>
      <c r="AL13" s="119"/>
      <c r="AM13" s="119"/>
      <c r="AN13" s="119"/>
      <c r="AO13" s="119"/>
      <c r="AP13" s="119"/>
      <c r="AQ13" s="119"/>
      <c r="AR13" s="119"/>
      <c r="AS13" s="119"/>
      <c r="AT13" s="120"/>
      <c r="AU13" s="121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20"/>
      <c r="BJ13" s="121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20"/>
      <c r="BY13" s="68"/>
      <c r="BZ13" s="59"/>
    </row>
    <row r="14" spans="2:78" ht="16" x14ac:dyDescent="0.35">
      <c r="B14" s="108">
        <v>1.4</v>
      </c>
      <c r="C14" s="109" t="s">
        <v>453</v>
      </c>
      <c r="D14" s="110" t="s">
        <v>446</v>
      </c>
      <c r="E14" s="111" t="s">
        <v>447</v>
      </c>
      <c r="F14" s="111" t="s">
        <v>448</v>
      </c>
      <c r="G14" s="112" t="s">
        <v>449</v>
      </c>
      <c r="H14" s="113">
        <v>4.1666666666666664E-2</v>
      </c>
      <c r="I14" s="113">
        <v>4.1666666666666664E-2</v>
      </c>
      <c r="J14" s="114">
        <f t="shared" si="1"/>
        <v>0</v>
      </c>
      <c r="K14" s="115">
        <v>1</v>
      </c>
      <c r="L14" s="116">
        <v>45719</v>
      </c>
      <c r="M14" s="116">
        <v>45719</v>
      </c>
      <c r="N14" s="116"/>
      <c r="O14" s="117">
        <f t="shared" si="2"/>
        <v>1</v>
      </c>
      <c r="P14" s="118">
        <f t="shared" si="0"/>
        <v>1</v>
      </c>
      <c r="Q14" s="103"/>
      <c r="R14" s="119"/>
      <c r="S14" s="119"/>
      <c r="T14" s="119"/>
      <c r="U14" s="119"/>
      <c r="V14" s="119"/>
      <c r="W14" s="119"/>
      <c r="X14" s="119"/>
      <c r="Y14" s="119"/>
      <c r="Z14" s="120"/>
      <c r="AA14" s="119"/>
      <c r="AB14" s="119"/>
      <c r="AC14" s="119"/>
      <c r="AD14" s="119"/>
      <c r="AE14" s="120"/>
      <c r="AF14" s="121"/>
      <c r="AG14" s="119"/>
      <c r="AH14" s="119"/>
      <c r="AI14" s="119"/>
      <c r="AJ14" s="119"/>
      <c r="AK14" s="121"/>
      <c r="AL14" s="119"/>
      <c r="AM14" s="119"/>
      <c r="AN14" s="119"/>
      <c r="AO14" s="119"/>
      <c r="AP14" s="119"/>
      <c r="AQ14" s="119"/>
      <c r="AR14" s="119"/>
      <c r="AS14" s="119"/>
      <c r="AT14" s="120"/>
      <c r="AU14" s="121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20"/>
      <c r="BJ14" s="121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  <c r="BU14" s="119"/>
      <c r="BV14" s="119"/>
      <c r="BW14" s="119"/>
      <c r="BX14" s="120"/>
      <c r="BY14" s="68"/>
      <c r="BZ14" s="59"/>
    </row>
    <row r="15" spans="2:78" ht="16" x14ac:dyDescent="0.35">
      <c r="B15" s="108">
        <v>1.5</v>
      </c>
      <c r="C15" s="109" t="s">
        <v>454</v>
      </c>
      <c r="D15" s="110" t="s">
        <v>446</v>
      </c>
      <c r="E15" s="111" t="s">
        <v>447</v>
      </c>
      <c r="F15" s="111" t="s">
        <v>448</v>
      </c>
      <c r="G15" s="112" t="s">
        <v>449</v>
      </c>
      <c r="H15" s="113">
        <v>0.10416666666666667</v>
      </c>
      <c r="I15" s="113">
        <v>0.10416666666666667</v>
      </c>
      <c r="J15" s="114">
        <f t="shared" si="1"/>
        <v>0</v>
      </c>
      <c r="K15" s="115">
        <v>1</v>
      </c>
      <c r="L15" s="116">
        <v>45719</v>
      </c>
      <c r="M15" s="116">
        <v>45719</v>
      </c>
      <c r="N15" s="116"/>
      <c r="O15" s="117">
        <f t="shared" si="2"/>
        <v>1</v>
      </c>
      <c r="P15" s="118">
        <f t="shared" si="0"/>
        <v>1</v>
      </c>
      <c r="Q15" s="103"/>
      <c r="R15" s="119"/>
      <c r="S15" s="119"/>
      <c r="T15" s="119"/>
      <c r="U15" s="119"/>
      <c r="V15" s="119"/>
      <c r="W15" s="119"/>
      <c r="X15" s="119"/>
      <c r="Y15" s="119"/>
      <c r="Z15" s="120"/>
      <c r="AA15" s="119"/>
      <c r="AB15" s="119"/>
      <c r="AC15" s="119"/>
      <c r="AD15" s="119"/>
      <c r="AE15" s="120"/>
      <c r="AF15" s="121"/>
      <c r="AG15" s="119"/>
      <c r="AH15" s="119"/>
      <c r="AI15" s="119"/>
      <c r="AJ15" s="119"/>
      <c r="AK15" s="121"/>
      <c r="AL15" s="119"/>
      <c r="AM15" s="119"/>
      <c r="AN15" s="119"/>
      <c r="AO15" s="119"/>
      <c r="AP15" s="119"/>
      <c r="AQ15" s="119"/>
      <c r="AR15" s="119"/>
      <c r="AS15" s="119"/>
      <c r="AT15" s="120"/>
      <c r="AU15" s="121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20"/>
      <c r="BJ15" s="121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20"/>
      <c r="BY15" s="68"/>
      <c r="BZ15" s="59"/>
    </row>
    <row r="16" spans="2:78" ht="16" x14ac:dyDescent="0.35">
      <c r="B16" s="108">
        <v>1.6</v>
      </c>
      <c r="C16" s="109" t="s">
        <v>455</v>
      </c>
      <c r="D16" s="110" t="s">
        <v>456</v>
      </c>
      <c r="E16" s="111" t="s">
        <v>457</v>
      </c>
      <c r="F16" s="111" t="s">
        <v>448</v>
      </c>
      <c r="G16" s="112" t="s">
        <v>449</v>
      </c>
      <c r="H16" s="113">
        <v>8.3333333333333329E-2</v>
      </c>
      <c r="I16" s="113">
        <v>0.1875</v>
      </c>
      <c r="J16" s="114">
        <f>+I16-H16</f>
        <v>0.10416666666666667</v>
      </c>
      <c r="K16" s="115">
        <v>1</v>
      </c>
      <c r="L16" s="116">
        <v>45719</v>
      </c>
      <c r="M16" s="116">
        <v>45719</v>
      </c>
      <c r="N16" s="116"/>
      <c r="O16" s="117">
        <f t="shared" si="2"/>
        <v>1</v>
      </c>
      <c r="P16" s="118">
        <f t="shared" si="0"/>
        <v>2.25</v>
      </c>
      <c r="Q16" s="103"/>
      <c r="R16" s="119"/>
      <c r="S16" s="119"/>
      <c r="T16" s="119"/>
      <c r="U16" s="119"/>
      <c r="V16" s="119"/>
      <c r="W16" s="119"/>
      <c r="X16" s="119"/>
      <c r="Y16" s="119"/>
      <c r="Z16" s="120"/>
      <c r="AA16" s="119"/>
      <c r="AB16" s="119"/>
      <c r="AC16" s="119"/>
      <c r="AD16" s="119"/>
      <c r="AE16" s="120"/>
      <c r="AF16" s="121"/>
      <c r="AG16" s="119"/>
      <c r="AH16" s="119"/>
      <c r="AI16" s="119"/>
      <c r="AJ16" s="119"/>
      <c r="AK16" s="121"/>
      <c r="AL16" s="119"/>
      <c r="AM16" s="119"/>
      <c r="AN16" s="119"/>
      <c r="AO16" s="119"/>
      <c r="AP16" s="119"/>
      <c r="AQ16" s="119"/>
      <c r="AR16" s="119"/>
      <c r="AS16" s="119"/>
      <c r="AT16" s="120"/>
      <c r="AU16" s="121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119"/>
      <c r="BI16" s="120"/>
      <c r="BJ16" s="121"/>
      <c r="BK16" s="119"/>
      <c r="BL16" s="119"/>
      <c r="BM16" s="119"/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20"/>
      <c r="BY16" s="68"/>
      <c r="BZ16" s="59"/>
    </row>
    <row r="17" spans="2:78" ht="16" x14ac:dyDescent="0.35">
      <c r="B17" s="108">
        <v>2</v>
      </c>
      <c r="C17" s="323" t="s">
        <v>458</v>
      </c>
      <c r="D17" s="324"/>
      <c r="E17" s="324"/>
      <c r="F17" s="325"/>
      <c r="G17" s="97"/>
      <c r="H17" s="98">
        <f>SUM(H18:H26)</f>
        <v>1.9166666666666667</v>
      </c>
      <c r="I17" s="98">
        <f>SUM(I18:I26)</f>
        <v>2</v>
      </c>
      <c r="J17" s="99">
        <f>SUM(J18:J26)</f>
        <v>8.3333333333333329E-2</v>
      </c>
      <c r="K17" s="122"/>
      <c r="L17" s="123"/>
      <c r="M17" s="124"/>
      <c r="N17" s="124"/>
      <c r="O17" s="125"/>
      <c r="P17" s="104">
        <f t="shared" si="0"/>
        <v>1.0434782608695652</v>
      </c>
      <c r="Q17" s="126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8"/>
      <c r="AF17" s="126"/>
      <c r="AG17" s="127"/>
      <c r="AH17" s="127"/>
      <c r="AI17" s="127"/>
      <c r="AJ17" s="127"/>
      <c r="AK17" s="126"/>
      <c r="AL17" s="127"/>
      <c r="AM17" s="127"/>
      <c r="AN17" s="127"/>
      <c r="AO17" s="127"/>
      <c r="AP17" s="127"/>
      <c r="AQ17" s="127"/>
      <c r="AR17" s="127"/>
      <c r="AS17" s="127"/>
      <c r="AT17" s="128"/>
      <c r="AU17" s="126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8"/>
      <c r="BJ17" s="126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8"/>
      <c r="BY17" s="68"/>
      <c r="BZ17" s="59"/>
    </row>
    <row r="18" spans="2:78" ht="23" x14ac:dyDescent="0.35">
      <c r="B18" s="108">
        <v>2.1</v>
      </c>
      <c r="C18" s="109" t="s">
        <v>459</v>
      </c>
      <c r="D18" s="129" t="s">
        <v>446</v>
      </c>
      <c r="E18" s="111" t="s">
        <v>447</v>
      </c>
      <c r="F18" s="111" t="s">
        <v>448</v>
      </c>
      <c r="G18" s="112" t="s">
        <v>449</v>
      </c>
      <c r="H18" s="113">
        <v>0.33333333333333331</v>
      </c>
      <c r="I18" s="113">
        <v>0.33333333333333331</v>
      </c>
      <c r="J18" s="114">
        <f t="shared" ref="J18:J23" si="3">H18-I18</f>
        <v>0</v>
      </c>
      <c r="K18" s="115">
        <v>1</v>
      </c>
      <c r="L18" s="116">
        <v>45720</v>
      </c>
      <c r="M18" s="116">
        <v>45720</v>
      </c>
      <c r="N18" s="116"/>
      <c r="O18" s="117">
        <f>M18-L18+1</f>
        <v>1</v>
      </c>
      <c r="P18" s="118">
        <f t="shared" si="0"/>
        <v>1</v>
      </c>
      <c r="Q18" s="121"/>
      <c r="R18" s="103"/>
      <c r="S18" s="119"/>
      <c r="T18" s="119"/>
      <c r="U18" s="119"/>
      <c r="V18" s="119"/>
      <c r="W18" s="119"/>
      <c r="X18" s="119"/>
      <c r="Y18" s="119"/>
      <c r="Z18" s="120"/>
      <c r="AA18" s="119"/>
      <c r="AB18" s="119"/>
      <c r="AC18" s="119"/>
      <c r="AD18" s="119"/>
      <c r="AE18" s="120"/>
      <c r="AF18" s="121"/>
      <c r="AG18" s="119"/>
      <c r="AH18" s="119"/>
      <c r="AI18" s="119"/>
      <c r="AJ18" s="119"/>
      <c r="AK18" s="121"/>
      <c r="AL18" s="119"/>
      <c r="AM18" s="119"/>
      <c r="AN18" s="119"/>
      <c r="AO18" s="119"/>
      <c r="AP18" s="119"/>
      <c r="AQ18" s="119"/>
      <c r="AR18" s="119"/>
      <c r="AS18" s="119"/>
      <c r="AT18" s="120"/>
      <c r="AU18" s="121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19"/>
      <c r="BI18" s="120"/>
      <c r="BJ18" s="121"/>
      <c r="BK18" s="119"/>
      <c r="BL18" s="119"/>
      <c r="BM18" s="119"/>
      <c r="BN18" s="119"/>
      <c r="BO18" s="119"/>
      <c r="BP18" s="119"/>
      <c r="BQ18" s="119"/>
      <c r="BR18" s="119"/>
      <c r="BS18" s="119"/>
      <c r="BT18" s="119"/>
      <c r="BU18" s="119"/>
      <c r="BV18" s="119"/>
      <c r="BW18" s="119"/>
      <c r="BX18" s="120"/>
      <c r="BY18" s="68"/>
      <c r="BZ18" s="59"/>
    </row>
    <row r="19" spans="2:78" ht="16" x14ac:dyDescent="0.35">
      <c r="B19" s="108">
        <v>2.2000000000000002</v>
      </c>
      <c r="C19" s="109" t="s">
        <v>460</v>
      </c>
      <c r="D19" s="129" t="s">
        <v>446</v>
      </c>
      <c r="E19" s="111" t="s">
        <v>447</v>
      </c>
      <c r="F19" s="111" t="s">
        <v>448</v>
      </c>
      <c r="G19" s="112" t="s">
        <v>449</v>
      </c>
      <c r="H19" s="113">
        <v>0.16666666666666666</v>
      </c>
      <c r="I19" s="113">
        <v>0.16666666666666666</v>
      </c>
      <c r="J19" s="114">
        <f t="shared" si="3"/>
        <v>0</v>
      </c>
      <c r="K19" s="115">
        <v>1</v>
      </c>
      <c r="L19" s="116">
        <v>45720</v>
      </c>
      <c r="M19" s="116">
        <v>45720</v>
      </c>
      <c r="N19" s="116"/>
      <c r="O19" s="117">
        <f>M19-L19+1</f>
        <v>1</v>
      </c>
      <c r="P19" s="118">
        <f t="shared" si="0"/>
        <v>1</v>
      </c>
      <c r="Q19" s="121"/>
      <c r="R19" s="103"/>
      <c r="S19" s="119"/>
      <c r="T19" s="119"/>
      <c r="U19" s="119"/>
      <c r="V19" s="119"/>
      <c r="W19" s="119"/>
      <c r="X19" s="119"/>
      <c r="Y19" s="119"/>
      <c r="Z19" s="120"/>
      <c r="AA19" s="119"/>
      <c r="AB19" s="119"/>
      <c r="AC19" s="119"/>
      <c r="AD19" s="119"/>
      <c r="AE19" s="120"/>
      <c r="AF19" s="121"/>
      <c r="AG19" s="119"/>
      <c r="AH19" s="119"/>
      <c r="AI19" s="119"/>
      <c r="AJ19" s="119"/>
      <c r="AK19" s="121"/>
      <c r="AL19" s="119"/>
      <c r="AM19" s="119"/>
      <c r="AN19" s="119"/>
      <c r="AO19" s="119"/>
      <c r="AP19" s="119"/>
      <c r="AQ19" s="119"/>
      <c r="AR19" s="119"/>
      <c r="AS19" s="119"/>
      <c r="AT19" s="120"/>
      <c r="AU19" s="121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20"/>
      <c r="BJ19" s="121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20"/>
      <c r="BY19" s="68"/>
      <c r="BZ19" s="59"/>
    </row>
    <row r="20" spans="2:78" ht="16" x14ac:dyDescent="0.35">
      <c r="B20" s="108">
        <v>2.2999999999999998</v>
      </c>
      <c r="C20" s="109" t="s">
        <v>461</v>
      </c>
      <c r="D20" s="129" t="s">
        <v>446</v>
      </c>
      <c r="E20" s="111" t="s">
        <v>447</v>
      </c>
      <c r="F20" s="111" t="s">
        <v>448</v>
      </c>
      <c r="G20" s="112" t="s">
        <v>449</v>
      </c>
      <c r="H20" s="113">
        <v>0.25</v>
      </c>
      <c r="I20" s="113">
        <v>0.25</v>
      </c>
      <c r="J20" s="114">
        <f t="shared" si="3"/>
        <v>0</v>
      </c>
      <c r="K20" s="115">
        <v>1</v>
      </c>
      <c r="L20" s="116">
        <v>45720</v>
      </c>
      <c r="M20" s="116">
        <v>45720</v>
      </c>
      <c r="N20" s="116"/>
      <c r="O20" s="117">
        <f>M20-L20+1</f>
        <v>1</v>
      </c>
      <c r="P20" s="118">
        <f t="shared" si="0"/>
        <v>1</v>
      </c>
      <c r="Q20" s="121"/>
      <c r="R20" s="103"/>
      <c r="S20" s="119"/>
      <c r="T20" s="119"/>
      <c r="U20" s="119"/>
      <c r="V20" s="119"/>
      <c r="W20" s="119"/>
      <c r="X20" s="119"/>
      <c r="Y20" s="119"/>
      <c r="Z20" s="120"/>
      <c r="AA20" s="119"/>
      <c r="AB20" s="119"/>
      <c r="AC20" s="119"/>
      <c r="AD20" s="119"/>
      <c r="AE20" s="120"/>
      <c r="AF20" s="121"/>
      <c r="AG20" s="119"/>
      <c r="AH20" s="119"/>
      <c r="AI20" s="119"/>
      <c r="AJ20" s="119"/>
      <c r="AK20" s="121"/>
      <c r="AL20" s="119"/>
      <c r="AM20" s="119"/>
      <c r="AN20" s="119"/>
      <c r="AO20" s="119"/>
      <c r="AP20" s="119"/>
      <c r="AQ20" s="119"/>
      <c r="AR20" s="119"/>
      <c r="AS20" s="119"/>
      <c r="AT20" s="120"/>
      <c r="AU20" s="121"/>
      <c r="AV20" s="119"/>
      <c r="AW20" s="119"/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20"/>
      <c r="BJ20" s="121"/>
      <c r="BK20" s="119"/>
      <c r="BL20" s="119"/>
      <c r="BM20" s="119"/>
      <c r="BN20" s="119"/>
      <c r="BO20" s="119"/>
      <c r="BP20" s="119"/>
      <c r="BQ20" s="119"/>
      <c r="BR20" s="119"/>
      <c r="BS20" s="119"/>
      <c r="BT20" s="119"/>
      <c r="BU20" s="119"/>
      <c r="BV20" s="119"/>
      <c r="BW20" s="119"/>
      <c r="BX20" s="120"/>
      <c r="BY20" s="68"/>
      <c r="BZ20" s="59"/>
    </row>
    <row r="21" spans="2:78" ht="16" x14ac:dyDescent="0.35">
      <c r="B21" s="108">
        <v>2.4</v>
      </c>
      <c r="C21" s="109" t="s">
        <v>462</v>
      </c>
      <c r="D21" s="129" t="s">
        <v>446</v>
      </c>
      <c r="E21" s="111" t="s">
        <v>447</v>
      </c>
      <c r="F21" s="111" t="s">
        <v>448</v>
      </c>
      <c r="G21" s="112" t="s">
        <v>449</v>
      </c>
      <c r="H21" s="113">
        <v>0.16666666666666666</v>
      </c>
      <c r="I21" s="113">
        <v>0.16666666666666666</v>
      </c>
      <c r="J21" s="114">
        <f t="shared" si="3"/>
        <v>0</v>
      </c>
      <c r="K21" s="115">
        <v>1</v>
      </c>
      <c r="L21" s="116">
        <v>45720</v>
      </c>
      <c r="M21" s="130">
        <v>45720</v>
      </c>
      <c r="N21" s="130"/>
      <c r="O21" s="117">
        <f>M21-L21+1</f>
        <v>1</v>
      </c>
      <c r="P21" s="118">
        <f t="shared" si="0"/>
        <v>1</v>
      </c>
      <c r="Q21" s="121"/>
      <c r="R21" s="103"/>
      <c r="S21" s="119"/>
      <c r="T21" s="119"/>
      <c r="U21" s="119"/>
      <c r="V21" s="119"/>
      <c r="W21" s="119"/>
      <c r="X21" s="119"/>
      <c r="Y21" s="119"/>
      <c r="Z21" s="120"/>
      <c r="AA21" s="119"/>
      <c r="AB21" s="119"/>
      <c r="AC21" s="119"/>
      <c r="AD21" s="119"/>
      <c r="AE21" s="120"/>
      <c r="AF21" s="121"/>
      <c r="AG21" s="119"/>
      <c r="AH21" s="119"/>
      <c r="AI21" s="119"/>
      <c r="AJ21" s="119"/>
      <c r="AK21" s="121"/>
      <c r="AL21" s="119"/>
      <c r="AM21" s="119"/>
      <c r="AN21" s="119"/>
      <c r="AO21" s="119"/>
      <c r="AP21" s="119"/>
      <c r="AQ21" s="119"/>
      <c r="AR21" s="119"/>
      <c r="AS21" s="119"/>
      <c r="AT21" s="120"/>
      <c r="AU21" s="121"/>
      <c r="AV21" s="119"/>
      <c r="AW21" s="119"/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119"/>
      <c r="BI21" s="120"/>
      <c r="BJ21" s="121"/>
      <c r="BK21" s="119"/>
      <c r="BL21" s="119"/>
      <c r="BM21" s="119"/>
      <c r="BN21" s="119"/>
      <c r="BO21" s="119"/>
      <c r="BP21" s="119"/>
      <c r="BQ21" s="119"/>
      <c r="BR21" s="119"/>
      <c r="BS21" s="119"/>
      <c r="BT21" s="119"/>
      <c r="BU21" s="119"/>
      <c r="BV21" s="119"/>
      <c r="BW21" s="119"/>
      <c r="BX21" s="120"/>
      <c r="BY21" s="68"/>
      <c r="BZ21" s="59"/>
    </row>
    <row r="22" spans="2:78" ht="16" x14ac:dyDescent="0.35">
      <c r="B22" s="108" t="s">
        <v>463</v>
      </c>
      <c r="C22" s="109" t="s">
        <v>464</v>
      </c>
      <c r="D22" s="129" t="s">
        <v>446</v>
      </c>
      <c r="E22" s="111" t="s">
        <v>447</v>
      </c>
      <c r="F22" s="111" t="s">
        <v>448</v>
      </c>
      <c r="G22" s="112" t="s">
        <v>449</v>
      </c>
      <c r="H22" s="113">
        <v>0.41666666666666669</v>
      </c>
      <c r="I22" s="113">
        <v>0.41666666666666669</v>
      </c>
      <c r="J22" s="114">
        <f t="shared" si="3"/>
        <v>0</v>
      </c>
      <c r="K22" s="115">
        <v>1</v>
      </c>
      <c r="L22" s="116">
        <v>45720</v>
      </c>
      <c r="M22" s="116">
        <v>45721</v>
      </c>
      <c r="N22" s="116"/>
      <c r="O22" s="117">
        <f t="shared" ref="O22:O26" si="4">M22-L22+1</f>
        <v>2</v>
      </c>
      <c r="P22" s="118">
        <f t="shared" si="0"/>
        <v>1</v>
      </c>
      <c r="Q22" s="121"/>
      <c r="R22" s="103"/>
      <c r="S22" s="119"/>
      <c r="T22" s="119"/>
      <c r="U22" s="119"/>
      <c r="V22" s="119"/>
      <c r="W22" s="119"/>
      <c r="X22" s="119"/>
      <c r="Y22" s="119"/>
      <c r="Z22" s="120"/>
      <c r="AA22" s="119"/>
      <c r="AB22" s="119"/>
      <c r="AC22" s="119"/>
      <c r="AD22" s="119"/>
      <c r="AE22" s="120"/>
      <c r="AF22" s="121"/>
      <c r="AG22" s="119"/>
      <c r="AH22" s="119"/>
      <c r="AI22" s="119"/>
      <c r="AJ22" s="119"/>
      <c r="AK22" s="121"/>
      <c r="AL22" s="119"/>
      <c r="AM22" s="119"/>
      <c r="AN22" s="119"/>
      <c r="AO22" s="119"/>
      <c r="AP22" s="119"/>
      <c r="AQ22" s="119"/>
      <c r="AR22" s="119"/>
      <c r="AS22" s="119"/>
      <c r="AT22" s="120"/>
      <c r="AU22" s="121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20"/>
      <c r="BJ22" s="121"/>
      <c r="BK22" s="119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20"/>
      <c r="BY22" s="68"/>
      <c r="BZ22" s="59"/>
    </row>
    <row r="23" spans="2:78" ht="16" x14ac:dyDescent="0.35">
      <c r="B23" s="108" t="s">
        <v>465</v>
      </c>
      <c r="C23" s="109" t="s">
        <v>466</v>
      </c>
      <c r="D23" s="129" t="s">
        <v>446</v>
      </c>
      <c r="E23" s="111" t="s">
        <v>447</v>
      </c>
      <c r="F23" s="111" t="s">
        <v>467</v>
      </c>
      <c r="G23" s="111" t="s">
        <v>468</v>
      </c>
      <c r="H23" s="113">
        <v>0.16666666666666666</v>
      </c>
      <c r="I23" s="113">
        <v>0.16666666666666666</v>
      </c>
      <c r="J23" s="114">
        <f t="shared" si="3"/>
        <v>0</v>
      </c>
      <c r="K23" s="115">
        <v>1</v>
      </c>
      <c r="L23" s="116">
        <v>45720</v>
      </c>
      <c r="M23" s="116">
        <v>45721</v>
      </c>
      <c r="N23" s="116"/>
      <c r="O23" s="117">
        <f t="shared" si="4"/>
        <v>2</v>
      </c>
      <c r="P23" s="118">
        <f t="shared" si="0"/>
        <v>1</v>
      </c>
      <c r="Q23" s="121"/>
      <c r="R23" s="103"/>
      <c r="S23" s="119"/>
      <c r="T23" s="119"/>
      <c r="U23" s="119"/>
      <c r="V23" s="119"/>
      <c r="W23" s="119"/>
      <c r="X23" s="119"/>
      <c r="Y23" s="119"/>
      <c r="Z23" s="120"/>
      <c r="AA23" s="119"/>
      <c r="AB23" s="119"/>
      <c r="AC23" s="119"/>
      <c r="AD23" s="119"/>
      <c r="AE23" s="120"/>
      <c r="AF23" s="121"/>
      <c r="AG23" s="119"/>
      <c r="AH23" s="119"/>
      <c r="AI23" s="119"/>
      <c r="AJ23" s="119"/>
      <c r="AK23" s="121"/>
      <c r="AL23" s="119"/>
      <c r="AM23" s="119"/>
      <c r="AN23" s="119"/>
      <c r="AO23" s="119"/>
      <c r="AP23" s="119"/>
      <c r="AQ23" s="119"/>
      <c r="AR23" s="119"/>
      <c r="AS23" s="119"/>
      <c r="AT23" s="120"/>
      <c r="AU23" s="121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119"/>
      <c r="BI23" s="120"/>
      <c r="BJ23" s="121"/>
      <c r="BK23" s="119"/>
      <c r="BL23" s="119"/>
      <c r="BM23" s="119"/>
      <c r="BN23" s="119"/>
      <c r="BO23" s="119"/>
      <c r="BP23" s="119"/>
      <c r="BQ23" s="119"/>
      <c r="BR23" s="119"/>
      <c r="BS23" s="119"/>
      <c r="BT23" s="119"/>
      <c r="BU23" s="119"/>
      <c r="BV23" s="119"/>
      <c r="BW23" s="119"/>
      <c r="BX23" s="120"/>
      <c r="BY23" s="68"/>
      <c r="BZ23" s="59"/>
    </row>
    <row r="24" spans="2:78" ht="16" x14ac:dyDescent="0.35">
      <c r="B24" s="108" t="s">
        <v>469</v>
      </c>
      <c r="C24" s="109" t="s">
        <v>455</v>
      </c>
      <c r="D24" s="129" t="s">
        <v>446</v>
      </c>
      <c r="E24" s="111" t="s">
        <v>447</v>
      </c>
      <c r="F24" s="111" t="s">
        <v>448</v>
      </c>
      <c r="G24" s="112" t="s">
        <v>449</v>
      </c>
      <c r="H24" s="113">
        <v>8.3333333333333329E-2</v>
      </c>
      <c r="I24" s="113">
        <v>0.16666666666666666</v>
      </c>
      <c r="J24" s="114">
        <f>+I24-H24</f>
        <v>8.3333333333333329E-2</v>
      </c>
      <c r="K24" s="115">
        <v>1</v>
      </c>
      <c r="L24" s="116">
        <v>45720</v>
      </c>
      <c r="M24" s="116">
        <v>45721</v>
      </c>
      <c r="N24" s="116"/>
      <c r="O24" s="117">
        <f t="shared" si="4"/>
        <v>2</v>
      </c>
      <c r="P24" s="118">
        <f t="shared" si="0"/>
        <v>2</v>
      </c>
      <c r="Q24" s="121"/>
      <c r="R24" s="103"/>
      <c r="S24" s="119"/>
      <c r="T24" s="119"/>
      <c r="U24" s="119"/>
      <c r="V24" s="119"/>
      <c r="W24" s="119"/>
      <c r="X24" s="119"/>
      <c r="Y24" s="119"/>
      <c r="Z24" s="120"/>
      <c r="AA24" s="119"/>
      <c r="AB24" s="119"/>
      <c r="AC24" s="119"/>
      <c r="AD24" s="119"/>
      <c r="AE24" s="120"/>
      <c r="AF24" s="121"/>
      <c r="AG24" s="119"/>
      <c r="AH24" s="119"/>
      <c r="AI24" s="119"/>
      <c r="AJ24" s="119"/>
      <c r="AK24" s="121"/>
      <c r="AL24" s="119"/>
      <c r="AM24" s="119"/>
      <c r="AN24" s="119"/>
      <c r="AO24" s="119"/>
      <c r="AP24" s="119"/>
      <c r="AQ24" s="119"/>
      <c r="AR24" s="119"/>
      <c r="AS24" s="119"/>
      <c r="AT24" s="120"/>
      <c r="AU24" s="121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20"/>
      <c r="BJ24" s="121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  <c r="BU24" s="119"/>
      <c r="BV24" s="119"/>
      <c r="BW24" s="119"/>
      <c r="BX24" s="120"/>
      <c r="BY24" s="68"/>
      <c r="BZ24" s="59"/>
    </row>
    <row r="25" spans="2:78" ht="16" x14ac:dyDescent="0.35">
      <c r="B25" s="108" t="s">
        <v>470</v>
      </c>
      <c r="C25" s="131" t="s">
        <v>471</v>
      </c>
      <c r="D25" s="129" t="s">
        <v>472</v>
      </c>
      <c r="E25" s="111" t="s">
        <v>473</v>
      </c>
      <c r="F25" s="111" t="s">
        <v>448</v>
      </c>
      <c r="G25" s="112" t="s">
        <v>449</v>
      </c>
      <c r="H25" s="113">
        <v>0.29166666666666669</v>
      </c>
      <c r="I25" s="113">
        <v>0.29166666666666669</v>
      </c>
      <c r="J25" s="114">
        <f>H25-I25</f>
        <v>0</v>
      </c>
      <c r="K25" s="115">
        <v>1</v>
      </c>
      <c r="L25" s="116">
        <v>45721</v>
      </c>
      <c r="M25" s="116">
        <v>45721</v>
      </c>
      <c r="N25" s="116"/>
      <c r="O25" s="117">
        <f t="shared" si="4"/>
        <v>1</v>
      </c>
      <c r="P25" s="118">
        <f t="shared" si="0"/>
        <v>1</v>
      </c>
      <c r="Q25" s="121"/>
      <c r="R25" s="119"/>
      <c r="S25" s="103"/>
      <c r="T25" s="119"/>
      <c r="U25" s="119"/>
      <c r="V25" s="119"/>
      <c r="W25" s="119"/>
      <c r="X25" s="119"/>
      <c r="Y25" s="119"/>
      <c r="Z25" s="120"/>
      <c r="AA25" s="119"/>
      <c r="AB25" s="119"/>
      <c r="AC25" s="119"/>
      <c r="AD25" s="119"/>
      <c r="AE25" s="120"/>
      <c r="AF25" s="121"/>
      <c r="AG25" s="119"/>
      <c r="AH25" s="119"/>
      <c r="AI25" s="119"/>
      <c r="AJ25" s="119"/>
      <c r="AK25" s="121"/>
      <c r="AL25" s="119"/>
      <c r="AM25" s="119"/>
      <c r="AN25" s="119"/>
      <c r="AO25" s="119"/>
      <c r="AP25" s="119"/>
      <c r="AQ25" s="119"/>
      <c r="AR25" s="119"/>
      <c r="AS25" s="119"/>
      <c r="AT25" s="120"/>
      <c r="AU25" s="121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120"/>
      <c r="BJ25" s="121"/>
      <c r="BK25" s="119"/>
      <c r="BL25" s="119"/>
      <c r="BM25" s="119"/>
      <c r="BN25" s="119"/>
      <c r="BO25" s="119"/>
      <c r="BP25" s="119"/>
      <c r="BQ25" s="119"/>
      <c r="BR25" s="119"/>
      <c r="BS25" s="119"/>
      <c r="BT25" s="119"/>
      <c r="BU25" s="119"/>
      <c r="BV25" s="119"/>
      <c r="BW25" s="119"/>
      <c r="BX25" s="120"/>
      <c r="BY25" s="68"/>
      <c r="BZ25" s="59"/>
    </row>
    <row r="26" spans="2:78" ht="16" x14ac:dyDescent="0.35">
      <c r="B26" s="108" t="s">
        <v>474</v>
      </c>
      <c r="C26" s="132" t="s">
        <v>475</v>
      </c>
      <c r="D26" s="129" t="s">
        <v>472</v>
      </c>
      <c r="E26" s="111" t="s">
        <v>473</v>
      </c>
      <c r="F26" s="111" t="s">
        <v>448</v>
      </c>
      <c r="G26" s="112" t="s">
        <v>449</v>
      </c>
      <c r="H26" s="133">
        <v>4.1666666666666664E-2</v>
      </c>
      <c r="I26" s="133">
        <v>4.1666666666666664E-2</v>
      </c>
      <c r="J26" s="114">
        <f>H26-I26</f>
        <v>0</v>
      </c>
      <c r="K26" s="115">
        <v>1</v>
      </c>
      <c r="L26" s="116">
        <v>45721</v>
      </c>
      <c r="M26" s="116">
        <v>45721</v>
      </c>
      <c r="N26" s="116"/>
      <c r="O26" s="117">
        <f t="shared" si="4"/>
        <v>1</v>
      </c>
      <c r="P26" s="118">
        <f t="shared" si="0"/>
        <v>1</v>
      </c>
      <c r="Q26" s="121"/>
      <c r="R26" s="119"/>
      <c r="S26" s="103"/>
      <c r="T26" s="119"/>
      <c r="U26" s="119"/>
      <c r="V26" s="119"/>
      <c r="W26" s="119"/>
      <c r="X26" s="119"/>
      <c r="Y26" s="119"/>
      <c r="Z26" s="134"/>
      <c r="AA26" s="119"/>
      <c r="AB26" s="119"/>
      <c r="AC26" s="119"/>
      <c r="AD26" s="119"/>
      <c r="AE26" s="120"/>
      <c r="AF26" s="121"/>
      <c r="AG26" s="119"/>
      <c r="AH26" s="119"/>
      <c r="AI26" s="119"/>
      <c r="AJ26" s="119"/>
      <c r="AK26" s="121"/>
      <c r="AL26" s="119"/>
      <c r="AM26" s="119"/>
      <c r="AN26" s="119"/>
      <c r="AO26" s="119"/>
      <c r="AP26" s="119"/>
      <c r="AQ26" s="119"/>
      <c r="AR26" s="119"/>
      <c r="AS26" s="119"/>
      <c r="AT26" s="120"/>
      <c r="AU26" s="121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120"/>
      <c r="BJ26" s="121"/>
      <c r="BK26" s="119"/>
      <c r="BL26" s="119"/>
      <c r="BM26" s="119"/>
      <c r="BN26" s="119"/>
      <c r="BO26" s="119"/>
      <c r="BP26" s="119"/>
      <c r="BQ26" s="119"/>
      <c r="BR26" s="119"/>
      <c r="BS26" s="119"/>
      <c r="BT26" s="119"/>
      <c r="BU26" s="119"/>
      <c r="BV26" s="119"/>
      <c r="BW26" s="119"/>
      <c r="BX26" s="120"/>
      <c r="BY26" s="68"/>
      <c r="BZ26" s="59"/>
    </row>
    <row r="27" spans="2:78" ht="16" x14ac:dyDescent="0.35">
      <c r="B27" s="108">
        <v>3</v>
      </c>
      <c r="C27" s="309" t="s">
        <v>476</v>
      </c>
      <c r="D27" s="310"/>
      <c r="E27" s="310"/>
      <c r="F27" s="311"/>
      <c r="G27" s="135"/>
      <c r="H27" s="136">
        <f>SUM(H28:H33)</f>
        <v>1</v>
      </c>
      <c r="I27" s="136">
        <f>SUM(I28:I33)</f>
        <v>1</v>
      </c>
      <c r="J27" s="137">
        <f>SUM(J28:J33)</f>
        <v>0</v>
      </c>
      <c r="K27" s="138"/>
      <c r="L27" s="139"/>
      <c r="M27" s="140"/>
      <c r="N27" s="140"/>
      <c r="O27" s="141"/>
      <c r="P27" s="104">
        <f t="shared" si="0"/>
        <v>1</v>
      </c>
      <c r="Q27" s="126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8"/>
      <c r="AF27" s="126"/>
      <c r="AG27" s="127"/>
      <c r="AH27" s="127"/>
      <c r="AI27" s="127"/>
      <c r="AJ27" s="127"/>
      <c r="AK27" s="126"/>
      <c r="AL27" s="127"/>
      <c r="AM27" s="127"/>
      <c r="AN27" s="127"/>
      <c r="AO27" s="127"/>
      <c r="AP27" s="127"/>
      <c r="AQ27" s="127"/>
      <c r="AR27" s="127"/>
      <c r="AS27" s="127"/>
      <c r="AT27" s="128"/>
      <c r="AU27" s="126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8"/>
      <c r="BJ27" s="126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8"/>
      <c r="BY27" s="68"/>
      <c r="BZ27" s="59"/>
    </row>
    <row r="28" spans="2:78" ht="16" x14ac:dyDescent="0.35">
      <c r="B28" s="108">
        <v>3.1</v>
      </c>
      <c r="C28" s="109" t="s">
        <v>477</v>
      </c>
      <c r="D28" s="129" t="s">
        <v>446</v>
      </c>
      <c r="E28" s="111" t="s">
        <v>447</v>
      </c>
      <c r="F28" s="111" t="s">
        <v>448</v>
      </c>
      <c r="G28" s="112" t="s">
        <v>449</v>
      </c>
      <c r="H28" s="113">
        <v>0.16666666666666666</v>
      </c>
      <c r="I28" s="113">
        <v>0.16666666666666666</v>
      </c>
      <c r="J28" s="114">
        <f t="shared" ref="J28:J33" si="5">H28-I28</f>
        <v>0</v>
      </c>
      <c r="K28" s="115">
        <v>2</v>
      </c>
      <c r="L28" s="116">
        <v>45727</v>
      </c>
      <c r="M28" s="116">
        <v>45727</v>
      </c>
      <c r="N28" s="116"/>
      <c r="O28" s="117">
        <f t="shared" ref="O28:O33" si="6">M28-L28+1</f>
        <v>1</v>
      </c>
      <c r="P28" s="118">
        <f t="shared" si="0"/>
        <v>1</v>
      </c>
      <c r="Q28" s="121"/>
      <c r="R28" s="119"/>
      <c r="T28" s="140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20"/>
      <c r="AF28" s="121"/>
      <c r="AG28" s="119"/>
      <c r="AH28" s="119"/>
      <c r="AI28" s="119"/>
      <c r="AJ28" s="119"/>
      <c r="AK28" s="121"/>
      <c r="AL28" s="119"/>
      <c r="AM28" s="119"/>
      <c r="AN28" s="119"/>
      <c r="AO28" s="119"/>
      <c r="AP28" s="119"/>
      <c r="AQ28" s="119"/>
      <c r="AR28" s="119"/>
      <c r="AS28" s="119"/>
      <c r="AT28" s="120"/>
      <c r="AU28" s="121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20"/>
      <c r="BJ28" s="121"/>
      <c r="BK28" s="119"/>
      <c r="BL28" s="119"/>
      <c r="BM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20"/>
      <c r="BY28" s="68"/>
      <c r="BZ28" s="59"/>
    </row>
    <row r="29" spans="2:78" ht="16" x14ac:dyDescent="0.35">
      <c r="B29" s="108">
        <v>3.2</v>
      </c>
      <c r="C29" s="109" t="s">
        <v>478</v>
      </c>
      <c r="D29" s="129" t="s">
        <v>446</v>
      </c>
      <c r="E29" s="111" t="s">
        <v>447</v>
      </c>
      <c r="F29" s="111" t="s">
        <v>448</v>
      </c>
      <c r="G29" s="112" t="s">
        <v>449</v>
      </c>
      <c r="H29" s="113">
        <v>0.16666666666666666</v>
      </c>
      <c r="I29" s="113">
        <v>0.16666666666666666</v>
      </c>
      <c r="J29" s="114">
        <f t="shared" si="5"/>
        <v>0</v>
      </c>
      <c r="K29" s="115">
        <v>2</v>
      </c>
      <c r="L29" s="116">
        <v>45727</v>
      </c>
      <c r="M29" s="116">
        <v>45727</v>
      </c>
      <c r="N29" s="116"/>
      <c r="O29" s="117">
        <f t="shared" si="6"/>
        <v>1</v>
      </c>
      <c r="P29" s="118">
        <f t="shared" si="0"/>
        <v>1</v>
      </c>
      <c r="Q29" s="121"/>
      <c r="R29" s="119"/>
      <c r="T29" s="140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20"/>
      <c r="AF29" s="121"/>
      <c r="AG29" s="119"/>
      <c r="AH29" s="119"/>
      <c r="AI29" s="119"/>
      <c r="AJ29" s="119"/>
      <c r="AK29" s="121"/>
      <c r="AL29" s="119"/>
      <c r="AM29" s="119"/>
      <c r="AN29" s="119"/>
      <c r="AO29" s="119"/>
      <c r="AP29" s="119"/>
      <c r="AQ29" s="119"/>
      <c r="AR29" s="119"/>
      <c r="AS29" s="119"/>
      <c r="AT29" s="120"/>
      <c r="AU29" s="121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20"/>
      <c r="BJ29" s="121"/>
      <c r="BK29" s="119"/>
      <c r="BL29" s="119"/>
      <c r="BM29" s="119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20"/>
      <c r="BY29" s="68"/>
      <c r="BZ29" s="59"/>
    </row>
    <row r="30" spans="2:78" ht="16" x14ac:dyDescent="0.35">
      <c r="B30" s="108" t="s">
        <v>479</v>
      </c>
      <c r="C30" s="109" t="s">
        <v>480</v>
      </c>
      <c r="D30" s="129" t="s">
        <v>446</v>
      </c>
      <c r="E30" s="111" t="s">
        <v>447</v>
      </c>
      <c r="F30" s="111" t="s">
        <v>448</v>
      </c>
      <c r="G30" s="112" t="s">
        <v>449</v>
      </c>
      <c r="H30" s="113">
        <v>0.16666666666666666</v>
      </c>
      <c r="I30" s="113">
        <v>0.16666666666666666</v>
      </c>
      <c r="J30" s="114">
        <f t="shared" si="5"/>
        <v>0</v>
      </c>
      <c r="K30" s="115">
        <v>2</v>
      </c>
      <c r="L30" s="116">
        <v>45727</v>
      </c>
      <c r="M30" s="116">
        <v>45727</v>
      </c>
      <c r="N30" s="116"/>
      <c r="O30" s="117">
        <f t="shared" si="6"/>
        <v>1</v>
      </c>
      <c r="P30" s="118">
        <f t="shared" si="0"/>
        <v>1</v>
      </c>
      <c r="Q30" s="121"/>
      <c r="R30" s="119"/>
      <c r="T30" s="140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20"/>
      <c r="AF30" s="121"/>
      <c r="AG30" s="119"/>
      <c r="AH30" s="119"/>
      <c r="AI30" s="119"/>
      <c r="AJ30" s="119"/>
      <c r="AK30" s="121"/>
      <c r="AL30" s="119"/>
      <c r="AM30" s="119"/>
      <c r="AN30" s="119"/>
      <c r="AO30" s="119"/>
      <c r="AP30" s="119"/>
      <c r="AQ30" s="119"/>
      <c r="AR30" s="119"/>
      <c r="AS30" s="119"/>
      <c r="AT30" s="120"/>
      <c r="AU30" s="121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20"/>
      <c r="BJ30" s="121"/>
      <c r="BK30" s="119"/>
      <c r="BL30" s="119"/>
      <c r="BM30" s="119"/>
      <c r="BN30" s="119"/>
      <c r="BO30" s="119"/>
      <c r="BP30" s="119"/>
      <c r="BQ30" s="119"/>
      <c r="BR30" s="119"/>
      <c r="BS30" s="119"/>
      <c r="BT30" s="119"/>
      <c r="BU30" s="119"/>
      <c r="BV30" s="119"/>
      <c r="BW30" s="119"/>
      <c r="BX30" s="120"/>
      <c r="BY30" s="68"/>
      <c r="BZ30" s="59"/>
    </row>
    <row r="31" spans="2:78" ht="16" x14ac:dyDescent="0.35">
      <c r="B31" s="108" t="s">
        <v>481</v>
      </c>
      <c r="C31" s="109" t="s">
        <v>482</v>
      </c>
      <c r="D31" s="129" t="s">
        <v>446</v>
      </c>
      <c r="E31" s="111" t="s">
        <v>447</v>
      </c>
      <c r="F31" s="111" t="s">
        <v>448</v>
      </c>
      <c r="G31" s="112" t="s">
        <v>449</v>
      </c>
      <c r="H31" s="113">
        <v>0.25</v>
      </c>
      <c r="I31" s="113">
        <v>0.25</v>
      </c>
      <c r="J31" s="114">
        <f t="shared" si="5"/>
        <v>0</v>
      </c>
      <c r="K31" s="115">
        <v>2</v>
      </c>
      <c r="L31" s="116">
        <v>45727</v>
      </c>
      <c r="M31" s="116">
        <v>45727</v>
      </c>
      <c r="N31" s="116"/>
      <c r="O31" s="117">
        <f t="shared" si="6"/>
        <v>1</v>
      </c>
      <c r="P31" s="118">
        <f t="shared" si="0"/>
        <v>1</v>
      </c>
      <c r="Q31" s="121"/>
      <c r="R31" s="119"/>
      <c r="T31" s="140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20"/>
      <c r="AF31" s="121"/>
      <c r="AG31" s="119"/>
      <c r="AH31" s="119"/>
      <c r="AI31" s="119"/>
      <c r="AJ31" s="119"/>
      <c r="AK31" s="121"/>
      <c r="AL31" s="119"/>
      <c r="AM31" s="119"/>
      <c r="AN31" s="119"/>
      <c r="AO31" s="119"/>
      <c r="AP31" s="119"/>
      <c r="AQ31" s="119"/>
      <c r="AR31" s="119"/>
      <c r="AS31" s="119"/>
      <c r="AT31" s="120"/>
      <c r="AU31" s="121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120"/>
      <c r="BJ31" s="121"/>
      <c r="BK31" s="119"/>
      <c r="BL31" s="119"/>
      <c r="BM31" s="119"/>
      <c r="BN31" s="119"/>
      <c r="BO31" s="119"/>
      <c r="BP31" s="119"/>
      <c r="BQ31" s="119"/>
      <c r="BR31" s="119"/>
      <c r="BS31" s="119"/>
      <c r="BT31" s="119"/>
      <c r="BU31" s="119"/>
      <c r="BV31" s="119"/>
      <c r="BW31" s="119"/>
      <c r="BX31" s="120"/>
      <c r="BY31" s="68"/>
      <c r="BZ31" s="59"/>
    </row>
    <row r="32" spans="2:78" ht="16" x14ac:dyDescent="0.35">
      <c r="B32" s="108">
        <v>3.3</v>
      </c>
      <c r="C32" s="109" t="s">
        <v>483</v>
      </c>
      <c r="D32" s="129" t="s">
        <v>446</v>
      </c>
      <c r="E32" s="111" t="s">
        <v>447</v>
      </c>
      <c r="F32" s="111" t="s">
        <v>448</v>
      </c>
      <c r="G32" s="112" t="s">
        <v>449</v>
      </c>
      <c r="H32" s="113">
        <v>0.16666666666666666</v>
      </c>
      <c r="I32" s="113">
        <v>0.16666666666666666</v>
      </c>
      <c r="J32" s="114">
        <f t="shared" si="5"/>
        <v>0</v>
      </c>
      <c r="K32" s="115">
        <v>2</v>
      </c>
      <c r="L32" s="116">
        <v>45727</v>
      </c>
      <c r="M32" s="116">
        <v>45727</v>
      </c>
      <c r="N32" s="116"/>
      <c r="O32" s="117">
        <f t="shared" si="6"/>
        <v>1</v>
      </c>
      <c r="P32" s="118">
        <f t="shared" si="0"/>
        <v>1</v>
      </c>
      <c r="Q32" s="121"/>
      <c r="R32" s="119"/>
      <c r="T32" s="140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20"/>
      <c r="AF32" s="121"/>
      <c r="AG32" s="119"/>
      <c r="AH32" s="119"/>
      <c r="AI32" s="119"/>
      <c r="AJ32" s="119"/>
      <c r="AK32" s="121"/>
      <c r="AL32" s="119"/>
      <c r="AM32" s="119"/>
      <c r="AN32" s="119"/>
      <c r="AO32" s="119"/>
      <c r="AP32" s="119"/>
      <c r="AQ32" s="119"/>
      <c r="AR32" s="119"/>
      <c r="AS32" s="119"/>
      <c r="AT32" s="120"/>
      <c r="AU32" s="121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20"/>
      <c r="BJ32" s="121"/>
      <c r="BK32" s="119"/>
      <c r="BL32" s="119"/>
      <c r="BM32" s="119"/>
      <c r="BN32" s="119"/>
      <c r="BO32" s="119"/>
      <c r="BP32" s="119"/>
      <c r="BQ32" s="119"/>
      <c r="BR32" s="119"/>
      <c r="BS32" s="119"/>
      <c r="BT32" s="119"/>
      <c r="BU32" s="119"/>
      <c r="BV32" s="119"/>
      <c r="BW32" s="119"/>
      <c r="BX32" s="120"/>
      <c r="BY32" s="68"/>
      <c r="BZ32" s="59"/>
    </row>
    <row r="33" spans="2:78" ht="16" x14ac:dyDescent="0.35">
      <c r="B33" s="108" t="s">
        <v>484</v>
      </c>
      <c r="C33" s="109" t="s">
        <v>455</v>
      </c>
      <c r="D33" s="129" t="s">
        <v>456</v>
      </c>
      <c r="E33" s="111" t="s">
        <v>457</v>
      </c>
      <c r="F33" s="111" t="s">
        <v>448</v>
      </c>
      <c r="G33" s="112" t="s">
        <v>449</v>
      </c>
      <c r="H33" s="113">
        <v>8.3333333333333329E-2</v>
      </c>
      <c r="I33" s="113">
        <v>8.3333333333333329E-2</v>
      </c>
      <c r="J33" s="114">
        <f t="shared" si="5"/>
        <v>0</v>
      </c>
      <c r="K33" s="115">
        <v>2</v>
      </c>
      <c r="L33" s="116">
        <v>45727</v>
      </c>
      <c r="M33" s="116">
        <v>45727</v>
      </c>
      <c r="N33" s="116"/>
      <c r="O33" s="117">
        <f t="shared" si="6"/>
        <v>1</v>
      </c>
      <c r="P33" s="118">
        <f t="shared" si="0"/>
        <v>1</v>
      </c>
      <c r="Q33" s="121"/>
      <c r="R33" s="119"/>
      <c r="T33" s="140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20"/>
      <c r="AF33" s="121"/>
      <c r="AG33" s="119"/>
      <c r="AH33" s="119"/>
      <c r="AI33" s="119"/>
      <c r="AJ33" s="119"/>
      <c r="AK33" s="121"/>
      <c r="AL33" s="119"/>
      <c r="AM33" s="119"/>
      <c r="AN33" s="119"/>
      <c r="AO33" s="119"/>
      <c r="AP33" s="119"/>
      <c r="AQ33" s="119"/>
      <c r="AR33" s="119"/>
      <c r="AS33" s="119"/>
      <c r="AT33" s="120"/>
      <c r="AU33" s="121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20"/>
      <c r="BJ33" s="121"/>
      <c r="BK33" s="119"/>
      <c r="BL33" s="119"/>
      <c r="BM33" s="119"/>
      <c r="BN33" s="119"/>
      <c r="BO33" s="119"/>
      <c r="BP33" s="119"/>
      <c r="BQ33" s="119"/>
      <c r="BR33" s="119"/>
      <c r="BS33" s="119"/>
      <c r="BT33" s="119"/>
      <c r="BU33" s="119"/>
      <c r="BV33" s="119"/>
      <c r="BW33" s="119"/>
      <c r="BX33" s="120"/>
      <c r="BY33" s="68"/>
      <c r="BZ33" s="59"/>
    </row>
    <row r="34" spans="2:78" ht="16" x14ac:dyDescent="0.35">
      <c r="B34" s="108">
        <v>4</v>
      </c>
      <c r="C34" s="312" t="s">
        <v>485</v>
      </c>
      <c r="D34" s="313"/>
      <c r="E34" s="313"/>
      <c r="F34" s="314"/>
      <c r="G34" s="142"/>
      <c r="H34" s="136">
        <f>SUM(H35:H42)</f>
        <v>1.625</v>
      </c>
      <c r="I34" s="136">
        <f>SUM(I35:I42)</f>
        <v>1.625</v>
      </c>
      <c r="J34" s="137">
        <f>SUM(J35:J42)</f>
        <v>0</v>
      </c>
      <c r="K34" s="138"/>
      <c r="L34" s="139"/>
      <c r="M34" s="140"/>
      <c r="N34" s="140"/>
      <c r="O34" s="141"/>
      <c r="P34" s="104">
        <f t="shared" si="0"/>
        <v>1</v>
      </c>
      <c r="Q34" s="126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8"/>
      <c r="AF34" s="126"/>
      <c r="AG34" s="127"/>
      <c r="AH34" s="127"/>
      <c r="AI34" s="127"/>
      <c r="AJ34" s="127"/>
      <c r="AK34" s="126"/>
      <c r="AL34" s="127"/>
      <c r="AM34" s="127"/>
      <c r="AN34" s="127"/>
      <c r="AO34" s="127"/>
      <c r="AP34" s="127"/>
      <c r="AQ34" s="127"/>
      <c r="AR34" s="127"/>
      <c r="AS34" s="127"/>
      <c r="AT34" s="128"/>
      <c r="AU34" s="126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8"/>
      <c r="BJ34" s="126"/>
      <c r="BK34" s="127"/>
      <c r="BL34" s="127"/>
      <c r="BM34" s="127"/>
      <c r="BN34" s="127"/>
      <c r="BO34" s="127"/>
      <c r="BP34" s="127"/>
      <c r="BQ34" s="127"/>
      <c r="BR34" s="127"/>
      <c r="BS34" s="127"/>
      <c r="BT34" s="127"/>
      <c r="BU34" s="127"/>
      <c r="BV34" s="127"/>
      <c r="BW34" s="127"/>
      <c r="BX34" s="128"/>
      <c r="BY34" s="68"/>
      <c r="BZ34" s="59"/>
    </row>
    <row r="35" spans="2:78" ht="16" x14ac:dyDescent="0.35">
      <c r="B35" s="108">
        <v>4.0999999999999996</v>
      </c>
      <c r="C35" s="109" t="s">
        <v>477</v>
      </c>
      <c r="D35" s="129" t="s">
        <v>446</v>
      </c>
      <c r="E35" s="143" t="s">
        <v>447</v>
      </c>
      <c r="F35" s="111" t="s">
        <v>448</v>
      </c>
      <c r="G35" s="111" t="s">
        <v>468</v>
      </c>
      <c r="H35" s="113">
        <v>0.33333333333333331</v>
      </c>
      <c r="I35" s="113">
        <v>0.33333333333333331</v>
      </c>
      <c r="J35" s="114">
        <f t="shared" ref="J35:J42" si="7">H35-I35</f>
        <v>0</v>
      </c>
      <c r="K35" s="115">
        <v>2</v>
      </c>
      <c r="L35" s="130">
        <v>45728</v>
      </c>
      <c r="M35" s="130">
        <v>45728</v>
      </c>
      <c r="N35" s="116">
        <v>45771</v>
      </c>
      <c r="O35" s="117">
        <f>M35-L35+1</f>
        <v>1</v>
      </c>
      <c r="P35" s="118">
        <f t="shared" si="0"/>
        <v>1</v>
      </c>
      <c r="Q35" s="121"/>
      <c r="R35" s="119"/>
      <c r="S35" s="119"/>
      <c r="T35" s="140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20"/>
      <c r="AF35" s="121"/>
      <c r="AG35" s="119"/>
      <c r="AH35" s="119"/>
      <c r="AI35" s="119"/>
      <c r="AJ35" s="119"/>
      <c r="AK35" s="121"/>
      <c r="AL35" s="119"/>
      <c r="AM35" s="119"/>
      <c r="AN35" s="119"/>
      <c r="AO35" s="119"/>
      <c r="AP35" s="119"/>
      <c r="AQ35" s="119"/>
      <c r="AR35" s="119"/>
      <c r="AS35" s="119"/>
      <c r="AT35" s="120"/>
      <c r="AU35" s="121"/>
      <c r="AV35" s="119"/>
      <c r="AW35" s="119"/>
      <c r="AX35" s="119"/>
      <c r="AY35" s="119"/>
      <c r="AZ35" s="119"/>
      <c r="BA35" s="119"/>
      <c r="BB35" s="119"/>
      <c r="BC35" s="119"/>
      <c r="BD35" s="119"/>
      <c r="BE35" s="119"/>
      <c r="BF35" s="119"/>
      <c r="BG35" s="119"/>
      <c r="BH35" s="119"/>
      <c r="BI35" s="120"/>
      <c r="BJ35" s="121"/>
      <c r="BK35" s="119"/>
      <c r="BL35" s="119"/>
      <c r="BM35" s="119"/>
      <c r="BN35" s="119"/>
      <c r="BO35" s="119"/>
      <c r="BP35" s="119"/>
      <c r="BQ35" s="119"/>
      <c r="BR35" s="119"/>
      <c r="BS35" s="119"/>
      <c r="BT35" s="119"/>
      <c r="BU35" s="119"/>
      <c r="BV35" s="119"/>
      <c r="BW35" s="119"/>
      <c r="BX35" s="120"/>
      <c r="BY35" s="68"/>
      <c r="BZ35" s="59"/>
    </row>
    <row r="36" spans="2:78" ht="16" x14ac:dyDescent="0.35">
      <c r="B36" s="108" t="s">
        <v>486</v>
      </c>
      <c r="C36" s="109" t="s">
        <v>478</v>
      </c>
      <c r="D36" s="129" t="s">
        <v>446</v>
      </c>
      <c r="E36" s="143" t="s">
        <v>447</v>
      </c>
      <c r="F36" s="111" t="s">
        <v>448</v>
      </c>
      <c r="G36" s="111" t="s">
        <v>468</v>
      </c>
      <c r="H36" s="113">
        <v>0.16666666666666666</v>
      </c>
      <c r="I36" s="113">
        <v>0.16666666666666666</v>
      </c>
      <c r="J36" s="114">
        <f t="shared" si="7"/>
        <v>0</v>
      </c>
      <c r="K36" s="115">
        <v>2</v>
      </c>
      <c r="L36" s="130">
        <v>45728</v>
      </c>
      <c r="M36" s="130">
        <v>45728</v>
      </c>
      <c r="N36" s="116">
        <v>45771</v>
      </c>
      <c r="O36" s="117">
        <f t="shared" ref="O36:O95" si="8">M36-L36+1</f>
        <v>1</v>
      </c>
      <c r="P36" s="118">
        <f t="shared" si="0"/>
        <v>1</v>
      </c>
      <c r="Q36" s="121"/>
      <c r="R36" s="119"/>
      <c r="S36" s="119"/>
      <c r="T36" s="140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20"/>
      <c r="AF36" s="121"/>
      <c r="AG36" s="119"/>
      <c r="AH36" s="119"/>
      <c r="AI36" s="119"/>
      <c r="AJ36" s="119"/>
      <c r="AK36" s="121"/>
      <c r="AL36" s="119"/>
      <c r="AM36" s="119"/>
      <c r="AN36" s="119"/>
      <c r="AO36" s="119"/>
      <c r="AP36" s="119"/>
      <c r="AQ36" s="119"/>
      <c r="AR36" s="119"/>
      <c r="AS36" s="119"/>
      <c r="AT36" s="120"/>
      <c r="AU36" s="121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120"/>
      <c r="BJ36" s="121"/>
      <c r="BK36" s="119"/>
      <c r="BL36" s="119"/>
      <c r="BM36" s="119"/>
      <c r="BN36" s="119"/>
      <c r="BO36" s="119"/>
      <c r="BP36" s="119"/>
      <c r="BQ36" s="119"/>
      <c r="BR36" s="119"/>
      <c r="BS36" s="119"/>
      <c r="BT36" s="119"/>
      <c r="BU36" s="119"/>
      <c r="BV36" s="119"/>
      <c r="BW36" s="119"/>
      <c r="BX36" s="120"/>
      <c r="BY36" s="68"/>
      <c r="BZ36" s="59"/>
    </row>
    <row r="37" spans="2:78" ht="16" x14ac:dyDescent="0.35">
      <c r="B37" s="108" t="s">
        <v>487</v>
      </c>
      <c r="C37" s="109" t="s">
        <v>480</v>
      </c>
      <c r="D37" s="129" t="s">
        <v>446</v>
      </c>
      <c r="E37" s="143" t="s">
        <v>447</v>
      </c>
      <c r="F37" s="111" t="s">
        <v>448</v>
      </c>
      <c r="G37" s="111" t="s">
        <v>468</v>
      </c>
      <c r="H37" s="113">
        <v>0.25</v>
      </c>
      <c r="I37" s="113">
        <v>0.25</v>
      </c>
      <c r="J37" s="114">
        <f t="shared" si="7"/>
        <v>0</v>
      </c>
      <c r="K37" s="115">
        <v>2</v>
      </c>
      <c r="L37" s="130">
        <v>45728</v>
      </c>
      <c r="M37" s="130">
        <v>45728</v>
      </c>
      <c r="N37" s="116">
        <v>45771</v>
      </c>
      <c r="O37" s="117">
        <f t="shared" si="8"/>
        <v>1</v>
      </c>
      <c r="P37" s="118">
        <f t="shared" si="0"/>
        <v>1</v>
      </c>
      <c r="Q37" s="121"/>
      <c r="R37" s="119"/>
      <c r="S37" s="119"/>
      <c r="T37" s="140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20"/>
      <c r="AF37" s="121"/>
      <c r="AG37" s="119"/>
      <c r="AH37" s="119"/>
      <c r="AI37" s="119"/>
      <c r="AJ37" s="119"/>
      <c r="AK37" s="121"/>
      <c r="AL37" s="119"/>
      <c r="AM37" s="119"/>
      <c r="AN37" s="119"/>
      <c r="AO37" s="119"/>
      <c r="AP37" s="119"/>
      <c r="AQ37" s="119"/>
      <c r="AR37" s="119"/>
      <c r="AS37" s="119"/>
      <c r="AT37" s="120"/>
      <c r="AU37" s="121"/>
      <c r="AV37" s="119"/>
      <c r="AW37" s="119"/>
      <c r="AX37" s="119"/>
      <c r="AY37" s="119"/>
      <c r="AZ37" s="119"/>
      <c r="BA37" s="119"/>
      <c r="BB37" s="119"/>
      <c r="BC37" s="119"/>
      <c r="BD37" s="119"/>
      <c r="BE37" s="119"/>
      <c r="BF37" s="119"/>
      <c r="BG37" s="119"/>
      <c r="BH37" s="119"/>
      <c r="BI37" s="120"/>
      <c r="BJ37" s="121"/>
      <c r="BK37" s="119"/>
      <c r="BL37" s="119"/>
      <c r="BM37" s="119"/>
      <c r="BN37" s="119"/>
      <c r="BO37" s="119"/>
      <c r="BP37" s="119"/>
      <c r="BQ37" s="119"/>
      <c r="BR37" s="119"/>
      <c r="BS37" s="119"/>
      <c r="BT37" s="119"/>
      <c r="BU37" s="119"/>
      <c r="BV37" s="119"/>
      <c r="BW37" s="119"/>
      <c r="BX37" s="120"/>
      <c r="BY37" s="68"/>
      <c r="BZ37" s="59"/>
    </row>
    <row r="38" spans="2:78" ht="16" x14ac:dyDescent="0.35">
      <c r="B38" s="108" t="s">
        <v>488</v>
      </c>
      <c r="C38" s="109" t="s">
        <v>489</v>
      </c>
      <c r="D38" s="129" t="s">
        <v>446</v>
      </c>
      <c r="E38" s="143" t="s">
        <v>447</v>
      </c>
      <c r="F38" s="111" t="s">
        <v>448</v>
      </c>
      <c r="G38" s="111" t="s">
        <v>468</v>
      </c>
      <c r="H38" s="113">
        <v>0.25</v>
      </c>
      <c r="I38" s="113">
        <v>0.25</v>
      </c>
      <c r="J38" s="114">
        <f t="shared" si="7"/>
        <v>0</v>
      </c>
      <c r="K38" s="115">
        <v>2</v>
      </c>
      <c r="L38" s="130">
        <v>45728</v>
      </c>
      <c r="M38" s="130">
        <v>45728</v>
      </c>
      <c r="N38" s="116">
        <v>45771</v>
      </c>
      <c r="O38" s="117">
        <f t="shared" si="8"/>
        <v>1</v>
      </c>
      <c r="P38" s="118">
        <f t="shared" si="0"/>
        <v>1</v>
      </c>
      <c r="Q38" s="121"/>
      <c r="R38" s="119"/>
      <c r="S38" s="119"/>
      <c r="T38" s="140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20"/>
      <c r="AF38" s="121"/>
      <c r="AG38" s="119"/>
      <c r="AH38" s="119"/>
      <c r="AI38" s="119"/>
      <c r="AJ38" s="119"/>
      <c r="AK38" s="121"/>
      <c r="AL38" s="119"/>
      <c r="AM38" s="119"/>
      <c r="AN38" s="119"/>
      <c r="AO38" s="119"/>
      <c r="AP38" s="119"/>
      <c r="AQ38" s="119"/>
      <c r="AR38" s="119"/>
      <c r="AS38" s="119"/>
      <c r="AT38" s="120"/>
      <c r="AU38" s="121"/>
      <c r="AV38" s="119"/>
      <c r="AW38" s="119"/>
      <c r="AX38" s="119"/>
      <c r="AY38" s="119"/>
      <c r="AZ38" s="119"/>
      <c r="BA38" s="119"/>
      <c r="BB38" s="119"/>
      <c r="BC38" s="119"/>
      <c r="BD38" s="119"/>
      <c r="BE38" s="119"/>
      <c r="BF38" s="119"/>
      <c r="BG38" s="119"/>
      <c r="BH38" s="119"/>
      <c r="BI38" s="120"/>
      <c r="BJ38" s="121"/>
      <c r="BK38" s="119"/>
      <c r="BL38" s="119"/>
      <c r="BM38" s="119"/>
      <c r="BN38" s="119"/>
      <c r="BO38" s="119"/>
      <c r="BP38" s="119"/>
      <c r="BQ38" s="119"/>
      <c r="BR38" s="119"/>
      <c r="BS38" s="119"/>
      <c r="BT38" s="119"/>
      <c r="BU38" s="119"/>
      <c r="BV38" s="119"/>
      <c r="BW38" s="119"/>
      <c r="BX38" s="120"/>
      <c r="BY38" s="68"/>
      <c r="BZ38" s="59"/>
    </row>
    <row r="39" spans="2:78" ht="16" x14ac:dyDescent="0.35">
      <c r="B39" s="108" t="s">
        <v>490</v>
      </c>
      <c r="C39" s="109" t="s">
        <v>491</v>
      </c>
      <c r="D39" s="129" t="s">
        <v>446</v>
      </c>
      <c r="E39" s="143" t="s">
        <v>447</v>
      </c>
      <c r="F39" s="111" t="s">
        <v>448</v>
      </c>
      <c r="G39" s="111" t="s">
        <v>468</v>
      </c>
      <c r="H39" s="113">
        <v>8.3333333333333329E-2</v>
      </c>
      <c r="I39" s="113">
        <v>8.3333333333333329E-2</v>
      </c>
      <c r="J39" s="114">
        <f t="shared" si="7"/>
        <v>0</v>
      </c>
      <c r="K39" s="115">
        <v>2</v>
      </c>
      <c r="L39" s="130">
        <v>45728</v>
      </c>
      <c r="M39" s="130">
        <v>45728</v>
      </c>
      <c r="N39" s="116">
        <v>45771</v>
      </c>
      <c r="O39" s="117">
        <f t="shared" si="8"/>
        <v>1</v>
      </c>
      <c r="P39" s="118">
        <f t="shared" si="0"/>
        <v>1</v>
      </c>
      <c r="Q39" s="121"/>
      <c r="R39" s="119"/>
      <c r="S39" s="119"/>
      <c r="T39" s="140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20"/>
      <c r="AF39" s="121"/>
      <c r="AG39" s="119"/>
      <c r="AH39" s="119"/>
      <c r="AI39" s="119"/>
      <c r="AJ39" s="119"/>
      <c r="AK39" s="121"/>
      <c r="AL39" s="119"/>
      <c r="AM39" s="119"/>
      <c r="AN39" s="119"/>
      <c r="AO39" s="119"/>
      <c r="AP39" s="119"/>
      <c r="AQ39" s="119"/>
      <c r="AR39" s="119"/>
      <c r="AS39" s="119"/>
      <c r="AT39" s="120"/>
      <c r="AU39" s="121"/>
      <c r="AV39" s="119"/>
      <c r="AW39" s="119"/>
      <c r="AX39" s="119"/>
      <c r="AY39" s="119"/>
      <c r="AZ39" s="119"/>
      <c r="BA39" s="119"/>
      <c r="BB39" s="119"/>
      <c r="BC39" s="119"/>
      <c r="BD39" s="119"/>
      <c r="BE39" s="119"/>
      <c r="BF39" s="119"/>
      <c r="BG39" s="119"/>
      <c r="BH39" s="119"/>
      <c r="BI39" s="120"/>
      <c r="BJ39" s="121"/>
      <c r="BK39" s="119"/>
      <c r="BL39" s="119"/>
      <c r="BM39" s="119"/>
      <c r="BN39" s="119"/>
      <c r="BO39" s="119"/>
      <c r="BP39" s="119"/>
      <c r="BQ39" s="119"/>
      <c r="BR39" s="119"/>
      <c r="BS39" s="119"/>
      <c r="BT39" s="119"/>
      <c r="BU39" s="119"/>
      <c r="BV39" s="119"/>
      <c r="BW39" s="119"/>
      <c r="BX39" s="120"/>
      <c r="BY39" s="68"/>
      <c r="BZ39" s="59"/>
    </row>
    <row r="40" spans="2:78" ht="16" x14ac:dyDescent="0.35">
      <c r="B40" s="108" t="s">
        <v>492</v>
      </c>
      <c r="C40" s="109" t="s">
        <v>493</v>
      </c>
      <c r="D40" s="129" t="s">
        <v>446</v>
      </c>
      <c r="E40" s="143" t="s">
        <v>447</v>
      </c>
      <c r="F40" s="111" t="s">
        <v>448</v>
      </c>
      <c r="G40" s="111" t="s">
        <v>468</v>
      </c>
      <c r="H40" s="113">
        <v>0.16666666666666666</v>
      </c>
      <c r="I40" s="113">
        <v>0.16666666666666666</v>
      </c>
      <c r="J40" s="114">
        <f t="shared" si="7"/>
        <v>0</v>
      </c>
      <c r="K40" s="115">
        <v>2</v>
      </c>
      <c r="L40" s="130">
        <v>45728</v>
      </c>
      <c r="M40" s="130">
        <v>45728</v>
      </c>
      <c r="N40" s="116">
        <v>45771</v>
      </c>
      <c r="O40" s="117">
        <f t="shared" si="8"/>
        <v>1</v>
      </c>
      <c r="P40" s="118">
        <f t="shared" si="0"/>
        <v>1</v>
      </c>
      <c r="Q40" s="121"/>
      <c r="R40" s="119"/>
      <c r="S40" s="119"/>
      <c r="T40" s="140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20"/>
      <c r="AF40" s="121"/>
      <c r="AG40" s="119"/>
      <c r="AH40" s="119"/>
      <c r="AI40" s="119"/>
      <c r="AJ40" s="119"/>
      <c r="AK40" s="121"/>
      <c r="AL40" s="119"/>
      <c r="AM40" s="119"/>
      <c r="AN40" s="119"/>
      <c r="AO40" s="119"/>
      <c r="AP40" s="119"/>
      <c r="AQ40" s="119"/>
      <c r="AR40" s="119"/>
      <c r="AS40" s="119"/>
      <c r="AT40" s="120"/>
      <c r="AU40" s="121"/>
      <c r="AV40" s="119"/>
      <c r="AW40" s="119"/>
      <c r="AX40" s="119"/>
      <c r="AY40" s="119"/>
      <c r="AZ40" s="119"/>
      <c r="BA40" s="119"/>
      <c r="BB40" s="119"/>
      <c r="BC40" s="119"/>
      <c r="BD40" s="119"/>
      <c r="BE40" s="119"/>
      <c r="BF40" s="119"/>
      <c r="BG40" s="119"/>
      <c r="BH40" s="119"/>
      <c r="BI40" s="120"/>
      <c r="BJ40" s="121"/>
      <c r="BK40" s="119"/>
      <c r="BL40" s="119"/>
      <c r="BM40" s="119"/>
      <c r="BN40" s="119"/>
      <c r="BO40" s="119"/>
      <c r="BP40" s="119"/>
      <c r="BQ40" s="119"/>
      <c r="BR40" s="119"/>
      <c r="BS40" s="119"/>
      <c r="BT40" s="119"/>
      <c r="BU40" s="119"/>
      <c r="BV40" s="119"/>
      <c r="BW40" s="119"/>
      <c r="BX40" s="120"/>
      <c r="BY40" s="68"/>
      <c r="BZ40" s="59"/>
    </row>
    <row r="41" spans="2:78" ht="16" x14ac:dyDescent="0.35">
      <c r="B41" s="108" t="s">
        <v>494</v>
      </c>
      <c r="C41" s="109" t="s">
        <v>495</v>
      </c>
      <c r="D41" s="129" t="s">
        <v>456</v>
      </c>
      <c r="E41" s="143" t="s">
        <v>457</v>
      </c>
      <c r="F41" s="111" t="s">
        <v>448</v>
      </c>
      <c r="G41" s="111" t="s">
        <v>468</v>
      </c>
      <c r="H41" s="113">
        <v>8.3333333333333329E-2</v>
      </c>
      <c r="I41" s="113">
        <v>8.3333333333333329E-2</v>
      </c>
      <c r="J41" s="114">
        <f t="shared" si="7"/>
        <v>0</v>
      </c>
      <c r="K41" s="115">
        <v>2</v>
      </c>
      <c r="L41" s="130">
        <v>45728</v>
      </c>
      <c r="M41" s="130">
        <v>45728</v>
      </c>
      <c r="N41" s="116">
        <v>45771</v>
      </c>
      <c r="O41" s="117">
        <f t="shared" si="8"/>
        <v>1</v>
      </c>
      <c r="P41" s="118">
        <f t="shared" si="0"/>
        <v>1</v>
      </c>
      <c r="Q41" s="121"/>
      <c r="R41" s="119"/>
      <c r="S41" s="119"/>
      <c r="T41" s="140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20"/>
      <c r="AF41" s="121"/>
      <c r="AG41" s="119"/>
      <c r="AH41" s="119"/>
      <c r="AI41" s="119"/>
      <c r="AJ41" s="119"/>
      <c r="AK41" s="121"/>
      <c r="AL41" s="119"/>
      <c r="AM41" s="119"/>
      <c r="AN41" s="119"/>
      <c r="AO41" s="119"/>
      <c r="AP41" s="119"/>
      <c r="AQ41" s="119"/>
      <c r="AR41" s="119"/>
      <c r="AS41" s="119"/>
      <c r="AT41" s="120"/>
      <c r="AU41" s="121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119"/>
      <c r="BI41" s="120"/>
      <c r="BJ41" s="121"/>
      <c r="BK41" s="119"/>
      <c r="BL41" s="119"/>
      <c r="BM41" s="119"/>
      <c r="BN41" s="119"/>
      <c r="BO41" s="119"/>
      <c r="BP41" s="119"/>
      <c r="BQ41" s="119"/>
      <c r="BR41" s="119"/>
      <c r="BS41" s="119"/>
      <c r="BT41" s="119"/>
      <c r="BU41" s="119"/>
      <c r="BV41" s="119"/>
      <c r="BW41" s="119"/>
      <c r="BX41" s="120"/>
      <c r="BY41" s="68"/>
      <c r="BZ41" s="59"/>
    </row>
    <row r="42" spans="2:78" ht="16" x14ac:dyDescent="0.35">
      <c r="B42" s="108" t="s">
        <v>496</v>
      </c>
      <c r="C42" s="131" t="s">
        <v>497</v>
      </c>
      <c r="D42" s="129" t="s">
        <v>472</v>
      </c>
      <c r="E42" s="143" t="s">
        <v>473</v>
      </c>
      <c r="F42" s="111" t="s">
        <v>448</v>
      </c>
      <c r="G42" s="111" t="s">
        <v>468</v>
      </c>
      <c r="H42" s="113">
        <v>0.29166666666666669</v>
      </c>
      <c r="I42" s="113">
        <v>0.29166666666666669</v>
      </c>
      <c r="J42" s="114">
        <f t="shared" si="7"/>
        <v>0</v>
      </c>
      <c r="K42" s="115">
        <v>2</v>
      </c>
      <c r="L42" s="130">
        <v>45729</v>
      </c>
      <c r="M42" s="130">
        <v>45729</v>
      </c>
      <c r="N42" s="116">
        <v>45771</v>
      </c>
      <c r="O42" s="117">
        <f t="shared" si="8"/>
        <v>1</v>
      </c>
      <c r="P42" s="118">
        <f t="shared" si="0"/>
        <v>1</v>
      </c>
      <c r="Q42" s="121"/>
      <c r="R42" s="119"/>
      <c r="S42" s="119"/>
      <c r="T42" s="140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20"/>
      <c r="AF42" s="121"/>
      <c r="AG42" s="119"/>
      <c r="AH42" s="119"/>
      <c r="AI42" s="119"/>
      <c r="AJ42" s="119"/>
      <c r="AK42" s="121"/>
      <c r="AL42" s="119"/>
      <c r="AM42" s="119"/>
      <c r="AN42" s="119"/>
      <c r="AO42" s="119"/>
      <c r="AP42" s="119"/>
      <c r="AQ42" s="119"/>
      <c r="AR42" s="119"/>
      <c r="AS42" s="119"/>
      <c r="AT42" s="120"/>
      <c r="AU42" s="121"/>
      <c r="AV42" s="119"/>
      <c r="AW42" s="119"/>
      <c r="AX42" s="119"/>
      <c r="AY42" s="119"/>
      <c r="AZ42" s="119"/>
      <c r="BA42" s="119"/>
      <c r="BB42" s="119"/>
      <c r="BC42" s="119"/>
      <c r="BD42" s="119"/>
      <c r="BE42" s="119"/>
      <c r="BF42" s="119"/>
      <c r="BG42" s="119"/>
      <c r="BH42" s="119"/>
      <c r="BI42" s="120"/>
      <c r="BJ42" s="121"/>
      <c r="BK42" s="119"/>
      <c r="BL42" s="119"/>
      <c r="BM42" s="119"/>
      <c r="BN42" s="119"/>
      <c r="BO42" s="119"/>
      <c r="BP42" s="119"/>
      <c r="BQ42" s="119"/>
      <c r="BR42" s="119"/>
      <c r="BS42" s="119"/>
      <c r="BT42" s="119"/>
      <c r="BU42" s="119"/>
      <c r="BV42" s="119"/>
      <c r="BW42" s="119"/>
      <c r="BX42" s="120"/>
      <c r="BY42" s="68"/>
      <c r="BZ42" s="59"/>
    </row>
    <row r="43" spans="2:78" ht="16" x14ac:dyDescent="0.35">
      <c r="B43" s="108" t="s">
        <v>498</v>
      </c>
      <c r="C43" s="315" t="s">
        <v>499</v>
      </c>
      <c r="D43" s="316"/>
      <c r="E43" s="316"/>
      <c r="F43" s="317"/>
      <c r="G43" s="144"/>
      <c r="H43" s="145">
        <f>SUM(H44:H46)</f>
        <v>0.41666666666666663</v>
      </c>
      <c r="I43" s="146">
        <f>SUM(I44:I47)</f>
        <v>0.43749999999999994</v>
      </c>
      <c r="J43" s="147">
        <f>SUM(J44:J46)</f>
        <v>0</v>
      </c>
      <c r="K43" s="148"/>
      <c r="L43" s="149"/>
      <c r="M43" s="150"/>
      <c r="N43" s="150"/>
      <c r="O43" s="151"/>
      <c r="P43" s="118"/>
      <c r="Q43" s="121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20"/>
      <c r="AF43" s="121"/>
      <c r="AG43" s="119"/>
      <c r="AH43" s="119"/>
      <c r="AI43" s="119"/>
      <c r="AJ43" s="119"/>
      <c r="AK43" s="121"/>
      <c r="AL43" s="119"/>
      <c r="AM43" s="119"/>
      <c r="AN43" s="119"/>
      <c r="AO43" s="119"/>
      <c r="AP43" s="119"/>
      <c r="AQ43" s="119"/>
      <c r="AR43" s="119"/>
      <c r="AS43" s="119"/>
      <c r="AT43" s="120"/>
      <c r="AU43" s="121"/>
      <c r="AV43" s="119"/>
      <c r="AW43" s="119"/>
      <c r="AX43" s="119"/>
      <c r="AY43" s="119"/>
      <c r="AZ43" s="119"/>
      <c r="BA43" s="119"/>
      <c r="BB43" s="119"/>
      <c r="BC43" s="119"/>
      <c r="BD43" s="119"/>
      <c r="BE43" s="119"/>
      <c r="BF43" s="119"/>
      <c r="BG43" s="119"/>
      <c r="BH43" s="119"/>
      <c r="BI43" s="120"/>
      <c r="BJ43" s="121"/>
      <c r="BK43" s="119"/>
      <c r="BL43" s="119"/>
      <c r="BM43" s="119"/>
      <c r="BN43" s="119"/>
      <c r="BO43" s="119"/>
      <c r="BP43" s="119"/>
      <c r="BQ43" s="119"/>
      <c r="BR43" s="119"/>
      <c r="BS43" s="119"/>
      <c r="BT43" s="119"/>
      <c r="BU43" s="119"/>
      <c r="BV43" s="119"/>
      <c r="BW43" s="119"/>
      <c r="BX43" s="120"/>
      <c r="BY43" s="68"/>
      <c r="BZ43" s="59"/>
    </row>
    <row r="44" spans="2:78" ht="16" x14ac:dyDescent="0.35">
      <c r="B44" s="108" t="s">
        <v>500</v>
      </c>
      <c r="C44" s="152" t="s">
        <v>501</v>
      </c>
      <c r="D44" s="129" t="s">
        <v>446</v>
      </c>
      <c r="E44" s="143" t="s">
        <v>447</v>
      </c>
      <c r="F44" s="111" t="s">
        <v>448</v>
      </c>
      <c r="G44" s="112" t="s">
        <v>449</v>
      </c>
      <c r="H44" s="113">
        <v>0.25</v>
      </c>
      <c r="I44" s="113">
        <v>0.25</v>
      </c>
      <c r="J44" s="114">
        <f>H44-I44</f>
        <v>0</v>
      </c>
      <c r="K44" s="115">
        <v>3</v>
      </c>
      <c r="L44" s="116">
        <v>45722</v>
      </c>
      <c r="M44" s="116">
        <v>45722</v>
      </c>
      <c r="N44" s="116">
        <v>45771</v>
      </c>
      <c r="O44" s="117">
        <f>M44-L44+1</f>
        <v>1</v>
      </c>
      <c r="P44" s="118">
        <f>IFERROR(I44/H44,"")</f>
        <v>1</v>
      </c>
      <c r="Q44" s="121"/>
      <c r="R44" s="119"/>
      <c r="S44" s="119"/>
      <c r="U44" s="151"/>
      <c r="V44" s="119"/>
      <c r="W44" s="119"/>
      <c r="X44" s="119"/>
      <c r="Y44" s="119"/>
      <c r="Z44" s="119"/>
      <c r="AA44" s="119"/>
      <c r="AB44" s="119"/>
      <c r="AC44" s="119"/>
      <c r="AD44" s="119"/>
      <c r="AE44" s="120"/>
      <c r="AF44" s="121"/>
      <c r="AG44" s="119"/>
      <c r="AH44" s="119"/>
      <c r="AI44" s="119"/>
      <c r="AJ44" s="119"/>
      <c r="AK44" s="121"/>
      <c r="AL44" s="119"/>
      <c r="AM44" s="119"/>
      <c r="AN44" s="119"/>
      <c r="AO44" s="119"/>
      <c r="AP44" s="119"/>
      <c r="AQ44" s="119"/>
      <c r="AR44" s="119"/>
      <c r="AS44" s="119"/>
      <c r="AT44" s="120"/>
      <c r="AU44" s="121"/>
      <c r="AV44" s="119"/>
      <c r="AW44" s="119"/>
      <c r="AX44" s="119"/>
      <c r="AY44" s="119"/>
      <c r="AZ44" s="119"/>
      <c r="BA44" s="119"/>
      <c r="BB44" s="119"/>
      <c r="BC44" s="119"/>
      <c r="BD44" s="119"/>
      <c r="BE44" s="119"/>
      <c r="BF44" s="119"/>
      <c r="BG44" s="119"/>
      <c r="BH44" s="119"/>
      <c r="BI44" s="120"/>
      <c r="BJ44" s="121"/>
      <c r="BK44" s="119"/>
      <c r="BL44" s="119"/>
      <c r="BM44" s="119"/>
      <c r="BN44" s="119"/>
      <c r="BO44" s="119"/>
      <c r="BP44" s="119"/>
      <c r="BQ44" s="119"/>
      <c r="BR44" s="119"/>
      <c r="BS44" s="119"/>
      <c r="BT44" s="119"/>
      <c r="BU44" s="119"/>
      <c r="BV44" s="119"/>
      <c r="BW44" s="119"/>
      <c r="BX44" s="120"/>
      <c r="BY44" s="68"/>
      <c r="BZ44" s="59"/>
    </row>
    <row r="45" spans="2:78" ht="16" x14ac:dyDescent="0.35">
      <c r="B45" s="108" t="s">
        <v>502</v>
      </c>
      <c r="C45" s="152" t="s">
        <v>503</v>
      </c>
      <c r="D45" s="129" t="s">
        <v>446</v>
      </c>
      <c r="E45" s="143" t="s">
        <v>447</v>
      </c>
      <c r="F45" s="111" t="s">
        <v>448</v>
      </c>
      <c r="G45" s="112" t="s">
        <v>449</v>
      </c>
      <c r="H45" s="113">
        <v>8.3333333333333329E-2</v>
      </c>
      <c r="I45" s="113">
        <v>8.3333333333333329E-2</v>
      </c>
      <c r="J45" s="114">
        <f>H45-I45</f>
        <v>0</v>
      </c>
      <c r="K45" s="115">
        <v>3</v>
      </c>
      <c r="L45" s="116">
        <v>45722</v>
      </c>
      <c r="M45" s="116">
        <v>45722</v>
      </c>
      <c r="N45" s="116">
        <v>45771</v>
      </c>
      <c r="O45" s="117">
        <f t="shared" si="8"/>
        <v>1</v>
      </c>
      <c r="P45" s="118">
        <f>IFERROR(I45/H45,"")</f>
        <v>1</v>
      </c>
      <c r="Q45" s="121"/>
      <c r="R45" s="119"/>
      <c r="S45" s="119"/>
      <c r="T45" s="119"/>
      <c r="U45" s="151"/>
      <c r="V45" s="119"/>
      <c r="W45" s="119"/>
      <c r="X45" s="119"/>
      <c r="Y45" s="119"/>
      <c r="Z45" s="119"/>
      <c r="AA45" s="119"/>
      <c r="AB45" s="119"/>
      <c r="AC45" s="119"/>
      <c r="AD45" s="119"/>
      <c r="AE45" s="120"/>
      <c r="AF45" s="121"/>
      <c r="AG45" s="119"/>
      <c r="AH45" s="119"/>
      <c r="AI45" s="119"/>
      <c r="AJ45" s="119"/>
      <c r="AK45" s="121"/>
      <c r="AL45" s="119"/>
      <c r="AM45" s="119"/>
      <c r="AN45" s="119"/>
      <c r="AO45" s="119"/>
      <c r="AP45" s="119"/>
      <c r="AQ45" s="119"/>
      <c r="AR45" s="119"/>
      <c r="AS45" s="119"/>
      <c r="AT45" s="120"/>
      <c r="AU45" s="121"/>
      <c r="AV45" s="119"/>
      <c r="AW45" s="119"/>
      <c r="AX45" s="119"/>
      <c r="AY45" s="119"/>
      <c r="AZ45" s="119"/>
      <c r="BA45" s="119"/>
      <c r="BB45" s="119"/>
      <c r="BC45" s="119"/>
      <c r="BD45" s="119"/>
      <c r="BE45" s="119"/>
      <c r="BF45" s="119"/>
      <c r="BG45" s="119"/>
      <c r="BH45" s="119"/>
      <c r="BI45" s="120"/>
      <c r="BJ45" s="121"/>
      <c r="BK45" s="119"/>
      <c r="BL45" s="119"/>
      <c r="BM45" s="119"/>
      <c r="BN45" s="119"/>
      <c r="BO45" s="119"/>
      <c r="BP45" s="119"/>
      <c r="BQ45" s="119"/>
      <c r="BR45" s="119"/>
      <c r="BS45" s="119"/>
      <c r="BT45" s="119"/>
      <c r="BU45" s="119"/>
      <c r="BV45" s="119"/>
      <c r="BW45" s="119"/>
      <c r="BX45" s="120"/>
      <c r="BY45" s="68"/>
      <c r="BZ45" s="59"/>
    </row>
    <row r="46" spans="2:78" ht="16" x14ac:dyDescent="0.35">
      <c r="B46" s="108" t="s">
        <v>504</v>
      </c>
      <c r="C46" s="152" t="s">
        <v>495</v>
      </c>
      <c r="D46" s="129" t="s">
        <v>456</v>
      </c>
      <c r="E46" s="143" t="s">
        <v>457</v>
      </c>
      <c r="F46" s="111" t="s">
        <v>448</v>
      </c>
      <c r="G46" s="112" t="s">
        <v>449</v>
      </c>
      <c r="H46" s="113">
        <v>8.3333333333333329E-2</v>
      </c>
      <c r="I46" s="113">
        <v>8.3333333333333329E-2</v>
      </c>
      <c r="J46" s="114">
        <f>H46-I46</f>
        <v>0</v>
      </c>
      <c r="K46" s="115">
        <v>3</v>
      </c>
      <c r="L46" s="116">
        <v>45722</v>
      </c>
      <c r="M46" s="116">
        <v>45722</v>
      </c>
      <c r="N46" s="116">
        <v>45771</v>
      </c>
      <c r="O46" s="117">
        <f t="shared" si="8"/>
        <v>1</v>
      </c>
      <c r="P46" s="118">
        <f>IFERROR(I46/H46,"")</f>
        <v>1</v>
      </c>
      <c r="Q46" s="121"/>
      <c r="R46" s="119"/>
      <c r="S46" s="119"/>
      <c r="T46" s="119"/>
      <c r="U46" s="151"/>
      <c r="V46" s="119"/>
      <c r="W46" s="119"/>
      <c r="X46" s="119"/>
      <c r="Y46" s="119"/>
      <c r="Z46" s="119"/>
      <c r="AA46" s="119"/>
      <c r="AB46" s="119"/>
      <c r="AC46" s="119"/>
      <c r="AD46" s="119"/>
      <c r="AE46" s="120"/>
      <c r="AF46" s="121"/>
      <c r="AG46" s="119"/>
      <c r="AH46" s="119"/>
      <c r="AI46" s="119"/>
      <c r="AJ46" s="119"/>
      <c r="AK46" s="121"/>
      <c r="AL46" s="119"/>
      <c r="AM46" s="119"/>
      <c r="AN46" s="119"/>
      <c r="AO46" s="119"/>
      <c r="AP46" s="119"/>
      <c r="AQ46" s="119"/>
      <c r="AR46" s="119"/>
      <c r="AS46" s="119"/>
      <c r="AT46" s="120"/>
      <c r="AU46" s="121"/>
      <c r="AV46" s="119"/>
      <c r="AW46" s="119"/>
      <c r="AX46" s="119"/>
      <c r="AY46" s="119"/>
      <c r="AZ46" s="119"/>
      <c r="BA46" s="119"/>
      <c r="BB46" s="119"/>
      <c r="BC46" s="119"/>
      <c r="BD46" s="119"/>
      <c r="BE46" s="119"/>
      <c r="BF46" s="119"/>
      <c r="BG46" s="119"/>
      <c r="BH46" s="119"/>
      <c r="BI46" s="120"/>
      <c r="BJ46" s="121"/>
      <c r="BK46" s="119"/>
      <c r="BL46" s="119"/>
      <c r="BM46" s="119"/>
      <c r="BN46" s="119"/>
      <c r="BO46" s="119"/>
      <c r="BP46" s="119"/>
      <c r="BQ46" s="119"/>
      <c r="BR46" s="119"/>
      <c r="BS46" s="119"/>
      <c r="BT46" s="119"/>
      <c r="BU46" s="119"/>
      <c r="BV46" s="119"/>
      <c r="BW46" s="119"/>
      <c r="BX46" s="120"/>
      <c r="BY46" s="68"/>
      <c r="BZ46" s="59"/>
    </row>
    <row r="47" spans="2:78" ht="16" x14ac:dyDescent="0.35">
      <c r="B47" s="108" t="s">
        <v>505</v>
      </c>
      <c r="C47" s="153" t="s">
        <v>506</v>
      </c>
      <c r="D47" s="129" t="s">
        <v>507</v>
      </c>
      <c r="E47" s="143" t="s">
        <v>473</v>
      </c>
      <c r="F47" s="111" t="s">
        <v>448</v>
      </c>
      <c r="G47" s="112" t="s">
        <v>449</v>
      </c>
      <c r="H47" s="113">
        <v>2.0833333333333332E-2</v>
      </c>
      <c r="I47" s="113">
        <v>2.0833333333333332E-2</v>
      </c>
      <c r="J47" s="114">
        <f>H47-I47</f>
        <v>0</v>
      </c>
      <c r="K47" s="115">
        <v>3</v>
      </c>
      <c r="L47" s="116">
        <v>45723</v>
      </c>
      <c r="M47" s="116">
        <v>45723</v>
      </c>
      <c r="N47" s="116">
        <v>45771</v>
      </c>
      <c r="O47" s="117">
        <f t="shared" si="8"/>
        <v>1</v>
      </c>
      <c r="P47" s="118">
        <f>IFERROR(I47/H47,"")</f>
        <v>1</v>
      </c>
      <c r="Q47" s="121"/>
      <c r="R47" s="119"/>
      <c r="S47" s="119"/>
      <c r="T47" s="119"/>
      <c r="U47" s="151"/>
      <c r="V47" s="119"/>
      <c r="W47" s="119"/>
      <c r="X47" s="119"/>
      <c r="Y47" s="119"/>
      <c r="Z47" s="119"/>
      <c r="AA47" s="119"/>
      <c r="AB47" s="119"/>
      <c r="AC47" s="119"/>
      <c r="AD47" s="119"/>
      <c r="AE47" s="120"/>
      <c r="AF47" s="121"/>
      <c r="AG47" s="119"/>
      <c r="AH47" s="119"/>
      <c r="AI47" s="119"/>
      <c r="AJ47" s="119"/>
      <c r="AK47" s="121"/>
      <c r="AL47" s="119"/>
      <c r="AM47" s="119"/>
      <c r="AN47" s="119"/>
      <c r="AO47" s="119"/>
      <c r="AP47" s="119"/>
      <c r="AQ47" s="119"/>
      <c r="AR47" s="119"/>
      <c r="AS47" s="119"/>
      <c r="AT47" s="120"/>
      <c r="AU47" s="121"/>
      <c r="AV47" s="119"/>
      <c r="AW47" s="119"/>
      <c r="AX47" s="119"/>
      <c r="AY47" s="119"/>
      <c r="AZ47" s="119"/>
      <c r="BA47" s="119"/>
      <c r="BB47" s="119"/>
      <c r="BC47" s="119"/>
      <c r="BD47" s="119"/>
      <c r="BE47" s="119"/>
      <c r="BF47" s="119"/>
      <c r="BG47" s="119"/>
      <c r="BH47" s="119"/>
      <c r="BI47" s="120"/>
      <c r="BJ47" s="121"/>
      <c r="BK47" s="119"/>
      <c r="BL47" s="119"/>
      <c r="BM47" s="119"/>
      <c r="BN47" s="119"/>
      <c r="BO47" s="119"/>
      <c r="BP47" s="119"/>
      <c r="BQ47" s="119"/>
      <c r="BR47" s="119"/>
      <c r="BS47" s="119"/>
      <c r="BT47" s="119"/>
      <c r="BU47" s="119"/>
      <c r="BV47" s="119"/>
      <c r="BW47" s="119"/>
      <c r="BX47" s="120"/>
      <c r="BY47" s="68"/>
      <c r="BZ47" s="59"/>
    </row>
    <row r="48" spans="2:78" ht="16" x14ac:dyDescent="0.35">
      <c r="B48" s="108" t="s">
        <v>508</v>
      </c>
      <c r="C48" s="154" t="s">
        <v>509</v>
      </c>
      <c r="D48" s="155"/>
      <c r="E48" s="156"/>
      <c r="F48" s="156"/>
      <c r="G48" s="156"/>
      <c r="H48" s="157">
        <f>SUM(H49:H51)</f>
        <v>0.33333333333333331</v>
      </c>
      <c r="I48" s="146">
        <f>SUM(I49:I51)</f>
        <v>0.33333333333333331</v>
      </c>
      <c r="J48" s="147">
        <f>SUM(J49:J51)</f>
        <v>0</v>
      </c>
      <c r="K48" s="148"/>
      <c r="L48" s="149"/>
      <c r="M48" s="150"/>
      <c r="N48" s="150"/>
      <c r="O48" s="151"/>
      <c r="P48" s="118"/>
      <c r="Q48" s="121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20"/>
      <c r="AF48" s="121"/>
      <c r="AG48" s="119"/>
      <c r="AH48" s="119"/>
      <c r="AI48" s="119"/>
      <c r="AJ48" s="119"/>
      <c r="AK48" s="121"/>
      <c r="AL48" s="119"/>
      <c r="AM48" s="119"/>
      <c r="AN48" s="119"/>
      <c r="AO48" s="119"/>
      <c r="AP48" s="119"/>
      <c r="AQ48" s="119"/>
      <c r="AR48" s="119"/>
      <c r="AS48" s="119"/>
      <c r="AT48" s="120"/>
      <c r="AU48" s="121"/>
      <c r="AV48" s="119"/>
      <c r="AW48" s="119"/>
      <c r="AX48" s="119"/>
      <c r="AY48" s="119"/>
      <c r="AZ48" s="119"/>
      <c r="BA48" s="119"/>
      <c r="BB48" s="119"/>
      <c r="BC48" s="119"/>
      <c r="BD48" s="119"/>
      <c r="BE48" s="119"/>
      <c r="BF48" s="119"/>
      <c r="BG48" s="119"/>
      <c r="BH48" s="119"/>
      <c r="BI48" s="120"/>
      <c r="BJ48" s="121"/>
      <c r="BK48" s="119"/>
      <c r="BL48" s="119"/>
      <c r="BM48" s="119"/>
      <c r="BN48" s="119"/>
      <c r="BO48" s="119"/>
      <c r="BP48" s="119"/>
      <c r="BQ48" s="119"/>
      <c r="BR48" s="119"/>
      <c r="BS48" s="119"/>
      <c r="BT48" s="119"/>
      <c r="BU48" s="119"/>
      <c r="BV48" s="119"/>
      <c r="BW48" s="119"/>
      <c r="BX48" s="120"/>
      <c r="BY48" s="68"/>
      <c r="BZ48" s="59"/>
    </row>
    <row r="49" spans="2:78" ht="16" x14ac:dyDescent="0.35">
      <c r="B49" s="108" t="s">
        <v>510</v>
      </c>
      <c r="C49" s="152" t="s">
        <v>501</v>
      </c>
      <c r="D49" s="158" t="s">
        <v>446</v>
      </c>
      <c r="E49" s="143" t="s">
        <v>447</v>
      </c>
      <c r="F49" s="143" t="s">
        <v>448</v>
      </c>
      <c r="G49" s="112" t="s">
        <v>449</v>
      </c>
      <c r="H49" s="113">
        <v>0.16666666666666666</v>
      </c>
      <c r="I49" s="113">
        <v>0.16666666666666666</v>
      </c>
      <c r="J49" s="114">
        <f>H49-I49</f>
        <v>0</v>
      </c>
      <c r="K49" s="115">
        <v>3</v>
      </c>
      <c r="L49" s="116">
        <v>45722</v>
      </c>
      <c r="M49" s="116">
        <v>45722</v>
      </c>
      <c r="N49" s="116">
        <v>45771</v>
      </c>
      <c r="O49" s="117">
        <f t="shared" si="8"/>
        <v>1</v>
      </c>
      <c r="P49" s="118">
        <f>IFERROR(I49/H49,"")</f>
        <v>1</v>
      </c>
      <c r="Q49" s="121"/>
      <c r="R49" s="119"/>
      <c r="S49" s="119"/>
      <c r="T49" s="119"/>
      <c r="U49" s="119"/>
      <c r="V49" s="151"/>
      <c r="W49" s="119"/>
      <c r="X49" s="119"/>
      <c r="Y49" s="119"/>
      <c r="Z49" s="119"/>
      <c r="AA49" s="119"/>
      <c r="AB49" s="119"/>
      <c r="AC49" s="119"/>
      <c r="AD49" s="119"/>
      <c r="AE49" s="120"/>
      <c r="AF49" s="121"/>
      <c r="AG49" s="119"/>
      <c r="AH49" s="119"/>
      <c r="AI49" s="119"/>
      <c r="AJ49" s="119"/>
      <c r="AK49" s="121"/>
      <c r="AL49" s="119"/>
      <c r="AM49" s="119"/>
      <c r="AN49" s="119"/>
      <c r="AO49" s="119"/>
      <c r="AP49" s="119"/>
      <c r="AQ49" s="119"/>
      <c r="AR49" s="119"/>
      <c r="AS49" s="119"/>
      <c r="AT49" s="120"/>
      <c r="AU49" s="121"/>
      <c r="AV49" s="119"/>
      <c r="AW49" s="119"/>
      <c r="AX49" s="119"/>
      <c r="AY49" s="119"/>
      <c r="AZ49" s="119"/>
      <c r="BA49" s="119"/>
      <c r="BB49" s="119"/>
      <c r="BC49" s="119"/>
      <c r="BD49" s="119"/>
      <c r="BE49" s="119"/>
      <c r="BF49" s="119"/>
      <c r="BG49" s="119"/>
      <c r="BH49" s="119"/>
      <c r="BI49" s="120"/>
      <c r="BJ49" s="121"/>
      <c r="BK49" s="119"/>
      <c r="BL49" s="119"/>
      <c r="BM49" s="119"/>
      <c r="BN49" s="119"/>
      <c r="BO49" s="119"/>
      <c r="BP49" s="119"/>
      <c r="BQ49" s="119"/>
      <c r="BR49" s="119"/>
      <c r="BS49" s="119"/>
      <c r="BT49" s="119"/>
      <c r="BU49" s="119"/>
      <c r="BV49" s="119"/>
      <c r="BW49" s="119"/>
      <c r="BX49" s="120"/>
      <c r="BY49" s="68"/>
      <c r="BZ49" s="59"/>
    </row>
    <row r="50" spans="2:78" ht="16" x14ac:dyDescent="0.35">
      <c r="B50" s="108" t="s">
        <v>511</v>
      </c>
      <c r="C50" s="152" t="s">
        <v>503</v>
      </c>
      <c r="D50" s="158" t="s">
        <v>446</v>
      </c>
      <c r="E50" s="143" t="s">
        <v>447</v>
      </c>
      <c r="F50" s="143" t="s">
        <v>448</v>
      </c>
      <c r="G50" s="112" t="s">
        <v>449</v>
      </c>
      <c r="H50" s="113">
        <v>8.3333333333333329E-2</v>
      </c>
      <c r="I50" s="113">
        <v>8.3333333333333329E-2</v>
      </c>
      <c r="J50" s="114">
        <f>H50-I50</f>
        <v>0</v>
      </c>
      <c r="K50" s="115">
        <v>3</v>
      </c>
      <c r="L50" s="116">
        <v>45722</v>
      </c>
      <c r="M50" s="116">
        <v>45722</v>
      </c>
      <c r="N50" s="116">
        <v>45771</v>
      </c>
      <c r="O50" s="117">
        <f t="shared" si="8"/>
        <v>1</v>
      </c>
      <c r="P50" s="118">
        <f>IFERROR(I50/H50,"")</f>
        <v>1</v>
      </c>
      <c r="Q50" s="121"/>
      <c r="R50" s="119"/>
      <c r="S50" s="119"/>
      <c r="T50" s="119"/>
      <c r="U50" s="119"/>
      <c r="V50" s="151"/>
      <c r="W50" s="119"/>
      <c r="X50" s="119"/>
      <c r="Y50" s="119"/>
      <c r="Z50" s="119"/>
      <c r="AA50" s="119"/>
      <c r="AB50" s="119"/>
      <c r="AC50" s="119"/>
      <c r="AD50" s="119"/>
      <c r="AE50" s="120"/>
      <c r="AF50" s="121"/>
      <c r="AG50" s="119"/>
      <c r="AH50" s="119"/>
      <c r="AI50" s="119"/>
      <c r="AJ50" s="119"/>
      <c r="AK50" s="121"/>
      <c r="AL50" s="119"/>
      <c r="AM50" s="119"/>
      <c r="AN50" s="119"/>
      <c r="AO50" s="119"/>
      <c r="AP50" s="119"/>
      <c r="AQ50" s="119"/>
      <c r="AR50" s="119"/>
      <c r="AS50" s="119"/>
      <c r="AT50" s="120"/>
      <c r="AU50" s="121"/>
      <c r="AV50" s="119"/>
      <c r="AW50" s="119"/>
      <c r="AX50" s="119"/>
      <c r="AY50" s="119"/>
      <c r="AZ50" s="119"/>
      <c r="BA50" s="119"/>
      <c r="BB50" s="119"/>
      <c r="BC50" s="119"/>
      <c r="BD50" s="119"/>
      <c r="BE50" s="119"/>
      <c r="BF50" s="119"/>
      <c r="BG50" s="119"/>
      <c r="BH50" s="119"/>
      <c r="BI50" s="120"/>
      <c r="BJ50" s="121"/>
      <c r="BK50" s="119"/>
      <c r="BL50" s="119"/>
      <c r="BM50" s="119"/>
      <c r="BN50" s="119"/>
      <c r="BO50" s="119"/>
      <c r="BP50" s="119"/>
      <c r="BQ50" s="119"/>
      <c r="BR50" s="119"/>
      <c r="BS50" s="119"/>
      <c r="BT50" s="119"/>
      <c r="BU50" s="119"/>
      <c r="BV50" s="119"/>
      <c r="BW50" s="119"/>
      <c r="BX50" s="120"/>
      <c r="BY50" s="68"/>
      <c r="BZ50" s="59"/>
    </row>
    <row r="51" spans="2:78" ht="16" x14ac:dyDescent="0.35">
      <c r="B51" s="108" t="s">
        <v>512</v>
      </c>
      <c r="C51" s="152" t="s">
        <v>513</v>
      </c>
      <c r="D51" s="158" t="s">
        <v>456</v>
      </c>
      <c r="E51" s="143" t="s">
        <v>457</v>
      </c>
      <c r="F51" s="143" t="s">
        <v>448</v>
      </c>
      <c r="G51" s="112" t="s">
        <v>449</v>
      </c>
      <c r="H51" s="113">
        <v>8.3333333333333329E-2</v>
      </c>
      <c r="I51" s="113">
        <v>8.3333333333333329E-2</v>
      </c>
      <c r="J51" s="114">
        <f>H51-I51</f>
        <v>0</v>
      </c>
      <c r="K51" s="115">
        <v>3</v>
      </c>
      <c r="L51" s="116">
        <v>45723</v>
      </c>
      <c r="M51" s="116">
        <v>45723</v>
      </c>
      <c r="N51" s="116">
        <v>45771</v>
      </c>
      <c r="O51" s="117">
        <f t="shared" si="8"/>
        <v>1</v>
      </c>
      <c r="P51" s="118">
        <f>IFERROR(I51/H51,"")</f>
        <v>1</v>
      </c>
      <c r="Q51" s="121"/>
      <c r="R51" s="119"/>
      <c r="S51" s="119"/>
      <c r="T51" s="119"/>
      <c r="U51" s="119"/>
      <c r="V51" s="151"/>
      <c r="W51" s="119"/>
      <c r="X51" s="119"/>
      <c r="Y51" s="119"/>
      <c r="Z51" s="119"/>
      <c r="AA51" s="119"/>
      <c r="AB51" s="119"/>
      <c r="AC51" s="119"/>
      <c r="AD51" s="119"/>
      <c r="AE51" s="120"/>
      <c r="AF51" s="121"/>
      <c r="AG51" s="119"/>
      <c r="AH51" s="119"/>
      <c r="AI51" s="119"/>
      <c r="AJ51" s="119"/>
      <c r="AK51" s="121"/>
      <c r="AL51" s="119"/>
      <c r="AM51" s="119"/>
      <c r="AN51" s="119"/>
      <c r="AO51" s="119"/>
      <c r="AP51" s="119"/>
      <c r="AQ51" s="119"/>
      <c r="AR51" s="119"/>
      <c r="AS51" s="119"/>
      <c r="AT51" s="120"/>
      <c r="AU51" s="121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  <c r="BH51" s="119"/>
      <c r="BI51" s="120"/>
      <c r="BJ51" s="121"/>
      <c r="BK51" s="119"/>
      <c r="BL51" s="119"/>
      <c r="BM51" s="119"/>
      <c r="BN51" s="119"/>
      <c r="BO51" s="119"/>
      <c r="BP51" s="119"/>
      <c r="BQ51" s="119"/>
      <c r="BR51" s="119"/>
      <c r="BS51" s="119"/>
      <c r="BT51" s="119"/>
      <c r="BU51" s="119"/>
      <c r="BV51" s="119"/>
      <c r="BW51" s="119"/>
      <c r="BX51" s="120"/>
      <c r="BY51" s="68"/>
      <c r="BZ51" s="59"/>
    </row>
    <row r="52" spans="2:78" ht="16" x14ac:dyDescent="0.35">
      <c r="B52" s="108" t="s">
        <v>514</v>
      </c>
      <c r="C52" s="154" t="s">
        <v>515</v>
      </c>
      <c r="D52" s="155"/>
      <c r="E52" s="156"/>
      <c r="F52" s="156"/>
      <c r="G52" s="156"/>
      <c r="H52" s="157">
        <f>SUM(H53:H58)</f>
        <v>1.125</v>
      </c>
      <c r="I52" s="146">
        <f>SUM(I53:I57)</f>
        <v>0.83333333333333337</v>
      </c>
      <c r="J52" s="147">
        <f>SUM(J53:J57)</f>
        <v>0</v>
      </c>
      <c r="K52" s="148"/>
      <c r="L52" s="149"/>
      <c r="M52" s="150"/>
      <c r="N52" s="150"/>
      <c r="O52" s="151"/>
      <c r="P52" s="118"/>
      <c r="Q52" s="121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20"/>
      <c r="AF52" s="121"/>
      <c r="AG52" s="119"/>
      <c r="AH52" s="119"/>
      <c r="AI52" s="119"/>
      <c r="AJ52" s="119"/>
      <c r="AK52" s="121"/>
      <c r="AL52" s="119"/>
      <c r="AM52" s="119"/>
      <c r="AN52" s="119"/>
      <c r="AO52" s="119"/>
      <c r="AP52" s="119"/>
      <c r="AQ52" s="119"/>
      <c r="AR52" s="119"/>
      <c r="AS52" s="119"/>
      <c r="AT52" s="120"/>
      <c r="AU52" s="121"/>
      <c r="AV52" s="119"/>
      <c r="AW52" s="119"/>
      <c r="AX52" s="119"/>
      <c r="AY52" s="119"/>
      <c r="AZ52" s="119"/>
      <c r="BA52" s="119"/>
      <c r="BB52" s="119"/>
      <c r="BC52" s="119"/>
      <c r="BD52" s="119"/>
      <c r="BE52" s="119"/>
      <c r="BF52" s="119"/>
      <c r="BG52" s="119"/>
      <c r="BH52" s="119"/>
      <c r="BI52" s="120"/>
      <c r="BJ52" s="121"/>
      <c r="BK52" s="119"/>
      <c r="BL52" s="119"/>
      <c r="BM52" s="119"/>
      <c r="BN52" s="119"/>
      <c r="BO52" s="119"/>
      <c r="BP52" s="119"/>
      <c r="BQ52" s="119"/>
      <c r="BR52" s="119"/>
      <c r="BS52" s="119"/>
      <c r="BT52" s="119"/>
      <c r="BU52" s="119"/>
      <c r="BV52" s="119"/>
      <c r="BW52" s="119"/>
      <c r="BX52" s="120"/>
      <c r="BY52" s="68"/>
      <c r="BZ52" s="59"/>
    </row>
    <row r="53" spans="2:78" ht="16" x14ac:dyDescent="0.35">
      <c r="B53" s="108" t="s">
        <v>516</v>
      </c>
      <c r="C53" s="152" t="s">
        <v>517</v>
      </c>
      <c r="D53" s="158" t="s">
        <v>446</v>
      </c>
      <c r="E53" s="143" t="s">
        <v>447</v>
      </c>
      <c r="F53" s="143" t="s">
        <v>448</v>
      </c>
      <c r="G53" s="143" t="s">
        <v>468</v>
      </c>
      <c r="H53" s="113">
        <v>0.1875</v>
      </c>
      <c r="I53" s="113">
        <v>0.1875</v>
      </c>
      <c r="J53" s="114">
        <f t="shared" ref="J53:J58" si="9">H53-I53</f>
        <v>0</v>
      </c>
      <c r="K53" s="115">
        <v>3</v>
      </c>
      <c r="L53" s="116">
        <v>45734</v>
      </c>
      <c r="M53" s="116">
        <v>45734</v>
      </c>
      <c r="N53" s="116">
        <v>45771</v>
      </c>
      <c r="O53" s="117">
        <f t="shared" si="8"/>
        <v>1</v>
      </c>
      <c r="P53" s="118">
        <f t="shared" ref="P53:P58" si="10">IFERROR(I53/H53,"")</f>
        <v>1</v>
      </c>
      <c r="Q53" s="121"/>
      <c r="R53" s="119"/>
      <c r="S53" s="119"/>
      <c r="T53" s="119"/>
      <c r="U53" s="119"/>
      <c r="V53" s="151"/>
      <c r="W53" s="119"/>
      <c r="Y53" s="119"/>
      <c r="Z53" s="119"/>
      <c r="AA53" s="119"/>
      <c r="AB53" s="119"/>
      <c r="AC53" s="119"/>
      <c r="AD53" s="119"/>
      <c r="AE53" s="120"/>
      <c r="AF53" s="121"/>
      <c r="AG53" s="119"/>
      <c r="AH53" s="119"/>
      <c r="AI53" s="119"/>
      <c r="AJ53" s="119"/>
      <c r="AK53" s="121"/>
      <c r="AL53" s="119"/>
      <c r="AM53" s="119"/>
      <c r="AN53" s="119"/>
      <c r="AO53" s="119"/>
      <c r="AP53" s="119"/>
      <c r="AQ53" s="119"/>
      <c r="AR53" s="119"/>
      <c r="AS53" s="119"/>
      <c r="AT53" s="120"/>
      <c r="AU53" s="121"/>
      <c r="AV53" s="119"/>
      <c r="AW53" s="119"/>
      <c r="AX53" s="119"/>
      <c r="AY53" s="119"/>
      <c r="AZ53" s="119"/>
      <c r="BA53" s="119"/>
      <c r="BB53" s="119"/>
      <c r="BC53" s="119"/>
      <c r="BD53" s="119"/>
      <c r="BE53" s="119"/>
      <c r="BF53" s="119"/>
      <c r="BG53" s="119"/>
      <c r="BH53" s="119"/>
      <c r="BI53" s="120"/>
      <c r="BJ53" s="121"/>
      <c r="BK53" s="119"/>
      <c r="BL53" s="119"/>
      <c r="BM53" s="119"/>
      <c r="BN53" s="119"/>
      <c r="BO53" s="119"/>
      <c r="BP53" s="119"/>
      <c r="BQ53" s="119"/>
      <c r="BR53" s="119"/>
      <c r="BS53" s="119"/>
      <c r="BT53" s="119"/>
      <c r="BU53" s="119"/>
      <c r="BV53" s="119"/>
      <c r="BW53" s="119"/>
      <c r="BX53" s="120"/>
      <c r="BY53" s="68"/>
      <c r="BZ53" s="59"/>
    </row>
    <row r="54" spans="2:78" ht="16" x14ac:dyDescent="0.35">
      <c r="B54" s="108" t="s">
        <v>518</v>
      </c>
      <c r="C54" s="152" t="s">
        <v>519</v>
      </c>
      <c r="D54" s="158" t="s">
        <v>446</v>
      </c>
      <c r="E54" s="143" t="s">
        <v>447</v>
      </c>
      <c r="F54" s="143" t="s">
        <v>448</v>
      </c>
      <c r="G54" s="143" t="s">
        <v>468</v>
      </c>
      <c r="H54" s="113">
        <v>0.1875</v>
      </c>
      <c r="I54" s="113">
        <v>0.1875</v>
      </c>
      <c r="J54" s="114">
        <f t="shared" si="9"/>
        <v>0</v>
      </c>
      <c r="K54" s="115">
        <v>3</v>
      </c>
      <c r="L54" s="116">
        <v>45734</v>
      </c>
      <c r="M54" s="116">
        <v>45734</v>
      </c>
      <c r="N54" s="116">
        <v>45771</v>
      </c>
      <c r="O54" s="117">
        <f t="shared" si="8"/>
        <v>1</v>
      </c>
      <c r="P54" s="118">
        <f t="shared" si="10"/>
        <v>1</v>
      </c>
      <c r="Q54" s="121"/>
      <c r="R54" s="119"/>
      <c r="S54" s="119"/>
      <c r="T54" s="119"/>
      <c r="U54" s="119"/>
      <c r="V54" s="151"/>
      <c r="W54" s="119"/>
      <c r="Y54" s="119"/>
      <c r="Z54" s="119"/>
      <c r="AA54" s="119"/>
      <c r="AB54" s="119"/>
      <c r="AC54" s="119"/>
      <c r="AD54" s="119"/>
      <c r="AE54" s="120"/>
      <c r="AF54" s="121"/>
      <c r="AG54" s="119"/>
      <c r="AH54" s="119"/>
      <c r="AI54" s="119"/>
      <c r="AJ54" s="119"/>
      <c r="AK54" s="121"/>
      <c r="AL54" s="119"/>
      <c r="AM54" s="119"/>
      <c r="AN54" s="119"/>
      <c r="AO54" s="119"/>
      <c r="AP54" s="119"/>
      <c r="AQ54" s="119"/>
      <c r="AR54" s="119"/>
      <c r="AS54" s="119"/>
      <c r="AT54" s="120"/>
      <c r="AU54" s="121"/>
      <c r="AV54" s="119"/>
      <c r="AW54" s="119"/>
      <c r="AX54" s="119"/>
      <c r="AY54" s="119"/>
      <c r="AZ54" s="119"/>
      <c r="BA54" s="119"/>
      <c r="BB54" s="119"/>
      <c r="BC54" s="119"/>
      <c r="BD54" s="119"/>
      <c r="BE54" s="119"/>
      <c r="BF54" s="119"/>
      <c r="BG54" s="119"/>
      <c r="BH54" s="119"/>
      <c r="BI54" s="120"/>
      <c r="BJ54" s="121"/>
      <c r="BK54" s="119"/>
      <c r="BL54" s="119"/>
      <c r="BM54" s="119"/>
      <c r="BN54" s="119"/>
      <c r="BO54" s="119"/>
      <c r="BP54" s="119"/>
      <c r="BQ54" s="119"/>
      <c r="BR54" s="119"/>
      <c r="BS54" s="119"/>
      <c r="BT54" s="119"/>
      <c r="BU54" s="119"/>
      <c r="BV54" s="119"/>
      <c r="BW54" s="119"/>
      <c r="BX54" s="120"/>
      <c r="BY54" s="68"/>
      <c r="BZ54" s="59"/>
    </row>
    <row r="55" spans="2:78" ht="16" x14ac:dyDescent="0.35">
      <c r="B55" s="108" t="s">
        <v>520</v>
      </c>
      <c r="C55" s="152" t="s">
        <v>521</v>
      </c>
      <c r="D55" s="158" t="s">
        <v>446</v>
      </c>
      <c r="E55" s="143" t="s">
        <v>447</v>
      </c>
      <c r="F55" s="143" t="s">
        <v>448</v>
      </c>
      <c r="G55" s="143" t="s">
        <v>468</v>
      </c>
      <c r="H55" s="113">
        <v>0.1875</v>
      </c>
      <c r="I55" s="113">
        <v>0.1875</v>
      </c>
      <c r="J55" s="114">
        <f t="shared" si="9"/>
        <v>0</v>
      </c>
      <c r="K55" s="115">
        <v>3</v>
      </c>
      <c r="L55" s="116">
        <v>45734</v>
      </c>
      <c r="M55" s="116">
        <v>45734</v>
      </c>
      <c r="N55" s="116">
        <v>45771</v>
      </c>
      <c r="O55" s="117">
        <f t="shared" si="8"/>
        <v>1</v>
      </c>
      <c r="P55" s="118">
        <f t="shared" si="10"/>
        <v>1</v>
      </c>
      <c r="Q55" s="121"/>
      <c r="R55" s="119"/>
      <c r="S55" s="119"/>
      <c r="T55" s="119"/>
      <c r="U55" s="119"/>
      <c r="V55" s="151"/>
      <c r="W55" s="119"/>
      <c r="Y55" s="119"/>
      <c r="Z55" s="119"/>
      <c r="AA55" s="119"/>
      <c r="AB55" s="119"/>
      <c r="AC55" s="119"/>
      <c r="AD55" s="119"/>
      <c r="AE55" s="120"/>
      <c r="AF55" s="121"/>
      <c r="AG55" s="119"/>
      <c r="AH55" s="119"/>
      <c r="AI55" s="119"/>
      <c r="AJ55" s="119"/>
      <c r="AK55" s="121"/>
      <c r="AL55" s="119"/>
      <c r="AM55" s="119"/>
      <c r="AN55" s="119"/>
      <c r="AO55" s="119"/>
      <c r="AP55" s="119"/>
      <c r="AQ55" s="119"/>
      <c r="AR55" s="119"/>
      <c r="AS55" s="119"/>
      <c r="AT55" s="120"/>
      <c r="AU55" s="121"/>
      <c r="AV55" s="119"/>
      <c r="AW55" s="119"/>
      <c r="AX55" s="119"/>
      <c r="AY55" s="119"/>
      <c r="AZ55" s="119"/>
      <c r="BA55" s="119"/>
      <c r="BB55" s="119"/>
      <c r="BC55" s="119"/>
      <c r="BD55" s="119"/>
      <c r="BE55" s="119"/>
      <c r="BF55" s="119"/>
      <c r="BG55" s="119"/>
      <c r="BH55" s="119"/>
      <c r="BI55" s="120"/>
      <c r="BJ55" s="121"/>
      <c r="BK55" s="119"/>
      <c r="BL55" s="119"/>
      <c r="BM55" s="119"/>
      <c r="BN55" s="119"/>
      <c r="BO55" s="119"/>
      <c r="BP55" s="119"/>
      <c r="BQ55" s="119"/>
      <c r="BR55" s="119"/>
      <c r="BS55" s="119"/>
      <c r="BT55" s="119"/>
      <c r="BU55" s="119"/>
      <c r="BV55" s="119"/>
      <c r="BW55" s="119"/>
      <c r="BX55" s="120"/>
      <c r="BY55" s="68"/>
      <c r="BZ55" s="59"/>
    </row>
    <row r="56" spans="2:78" ht="16" x14ac:dyDescent="0.35">
      <c r="B56" s="108" t="s">
        <v>522</v>
      </c>
      <c r="C56" s="152" t="s">
        <v>523</v>
      </c>
      <c r="D56" s="158" t="s">
        <v>446</v>
      </c>
      <c r="E56" s="143" t="s">
        <v>447</v>
      </c>
      <c r="F56" s="143" t="s">
        <v>448</v>
      </c>
      <c r="G56" s="143" t="s">
        <v>468</v>
      </c>
      <c r="H56" s="113">
        <v>0.1875</v>
      </c>
      <c r="I56" s="113">
        <v>0.1875</v>
      </c>
      <c r="J56" s="114">
        <f t="shared" si="9"/>
        <v>0</v>
      </c>
      <c r="K56" s="115">
        <v>3</v>
      </c>
      <c r="L56" s="116">
        <v>45734</v>
      </c>
      <c r="M56" s="116">
        <v>45734</v>
      </c>
      <c r="N56" s="116">
        <v>45771</v>
      </c>
      <c r="O56" s="117">
        <f t="shared" si="8"/>
        <v>1</v>
      </c>
      <c r="P56" s="118">
        <f t="shared" si="10"/>
        <v>1</v>
      </c>
      <c r="Q56" s="121"/>
      <c r="R56" s="119"/>
      <c r="S56" s="119"/>
      <c r="T56" s="119"/>
      <c r="U56" s="119"/>
      <c r="V56" s="151"/>
      <c r="W56" s="119"/>
      <c r="Y56" s="119"/>
      <c r="Z56" s="119"/>
      <c r="AA56" s="119"/>
      <c r="AB56" s="119"/>
      <c r="AC56" s="119"/>
      <c r="AD56" s="119"/>
      <c r="AE56" s="120"/>
      <c r="AF56" s="121"/>
      <c r="AG56" s="119"/>
      <c r="AH56" s="119"/>
      <c r="AI56" s="119"/>
      <c r="AJ56" s="119"/>
      <c r="AK56" s="121"/>
      <c r="AL56" s="119"/>
      <c r="AM56" s="119"/>
      <c r="AN56" s="119"/>
      <c r="AO56" s="119"/>
      <c r="AP56" s="119"/>
      <c r="AQ56" s="119"/>
      <c r="AR56" s="119"/>
      <c r="AS56" s="119"/>
      <c r="AT56" s="120"/>
      <c r="AU56" s="121"/>
      <c r="AV56" s="119"/>
      <c r="AW56" s="119"/>
      <c r="AX56" s="119"/>
      <c r="AY56" s="119"/>
      <c r="AZ56" s="119"/>
      <c r="BA56" s="119"/>
      <c r="BB56" s="119"/>
      <c r="BC56" s="119"/>
      <c r="BD56" s="119"/>
      <c r="BE56" s="119"/>
      <c r="BF56" s="119"/>
      <c r="BG56" s="119"/>
      <c r="BH56" s="119"/>
      <c r="BI56" s="120"/>
      <c r="BJ56" s="121"/>
      <c r="BK56" s="119"/>
      <c r="BL56" s="119"/>
      <c r="BM56" s="119"/>
      <c r="BN56" s="119"/>
      <c r="BO56" s="119"/>
      <c r="BP56" s="119"/>
      <c r="BQ56" s="119"/>
      <c r="BR56" s="119"/>
      <c r="BS56" s="119"/>
      <c r="BT56" s="119"/>
      <c r="BU56" s="119"/>
      <c r="BV56" s="119"/>
      <c r="BW56" s="119"/>
      <c r="BX56" s="120"/>
      <c r="BY56" s="68"/>
      <c r="BZ56" s="59"/>
    </row>
    <row r="57" spans="2:78" ht="16" x14ac:dyDescent="0.35">
      <c r="B57" s="108" t="s">
        <v>524</v>
      </c>
      <c r="C57" s="152" t="s">
        <v>513</v>
      </c>
      <c r="D57" s="158" t="s">
        <v>456</v>
      </c>
      <c r="E57" s="143" t="s">
        <v>457</v>
      </c>
      <c r="F57" s="143" t="s">
        <v>448</v>
      </c>
      <c r="G57" s="143" t="s">
        <v>468</v>
      </c>
      <c r="H57" s="113">
        <v>8.3333333333333329E-2</v>
      </c>
      <c r="I57" s="113">
        <v>8.3333333333333329E-2</v>
      </c>
      <c r="J57" s="114">
        <f t="shared" si="9"/>
        <v>0</v>
      </c>
      <c r="K57" s="115">
        <v>3</v>
      </c>
      <c r="L57" s="116">
        <v>45734</v>
      </c>
      <c r="M57" s="116">
        <v>45734</v>
      </c>
      <c r="N57" s="116">
        <v>45771</v>
      </c>
      <c r="O57" s="117">
        <f t="shared" si="8"/>
        <v>1</v>
      </c>
      <c r="P57" s="118">
        <f t="shared" si="10"/>
        <v>1</v>
      </c>
      <c r="Q57" s="121"/>
      <c r="R57" s="119"/>
      <c r="S57" s="119"/>
      <c r="T57" s="119"/>
      <c r="U57" s="119"/>
      <c r="V57" s="151"/>
      <c r="W57" s="119"/>
      <c r="Y57" s="119"/>
      <c r="Z57" s="119"/>
      <c r="AA57" s="119"/>
      <c r="AB57" s="119"/>
      <c r="AC57" s="119"/>
      <c r="AD57" s="119"/>
      <c r="AE57" s="120"/>
      <c r="AF57" s="121"/>
      <c r="AG57" s="119"/>
      <c r="AH57" s="119"/>
      <c r="AI57" s="119"/>
      <c r="AJ57" s="119"/>
      <c r="AK57" s="121"/>
      <c r="AL57" s="119"/>
      <c r="AM57" s="119"/>
      <c r="AN57" s="119"/>
      <c r="AO57" s="119"/>
      <c r="AP57" s="119"/>
      <c r="AQ57" s="119"/>
      <c r="AR57" s="119"/>
      <c r="AS57" s="119"/>
      <c r="AT57" s="120"/>
      <c r="AU57" s="121"/>
      <c r="AV57" s="119"/>
      <c r="AW57" s="119"/>
      <c r="AX57" s="119"/>
      <c r="AY57" s="119"/>
      <c r="AZ57" s="119"/>
      <c r="BA57" s="119"/>
      <c r="BB57" s="119"/>
      <c r="BC57" s="119"/>
      <c r="BD57" s="119"/>
      <c r="BE57" s="119"/>
      <c r="BF57" s="119"/>
      <c r="BG57" s="119"/>
      <c r="BH57" s="119"/>
      <c r="BI57" s="120"/>
      <c r="BJ57" s="121"/>
      <c r="BK57" s="119"/>
      <c r="BL57" s="119"/>
      <c r="BM57" s="119"/>
      <c r="BN57" s="119"/>
      <c r="BO57" s="119"/>
      <c r="BP57" s="119"/>
      <c r="BQ57" s="119"/>
      <c r="BR57" s="119"/>
      <c r="BS57" s="119"/>
      <c r="BT57" s="119"/>
      <c r="BU57" s="119"/>
      <c r="BV57" s="119"/>
      <c r="BW57" s="119"/>
      <c r="BX57" s="120"/>
      <c r="BY57" s="68"/>
      <c r="BZ57" s="59"/>
    </row>
    <row r="58" spans="2:78" ht="16" x14ac:dyDescent="0.35">
      <c r="B58" s="108" t="s">
        <v>525</v>
      </c>
      <c r="C58" s="159" t="s">
        <v>526</v>
      </c>
      <c r="D58" s="158" t="s">
        <v>456</v>
      </c>
      <c r="E58" s="143" t="s">
        <v>473</v>
      </c>
      <c r="F58" s="143" t="s">
        <v>448</v>
      </c>
      <c r="G58" s="143" t="s">
        <v>468</v>
      </c>
      <c r="H58" s="113">
        <v>0.29166666666666669</v>
      </c>
      <c r="I58" s="160"/>
      <c r="J58" s="114">
        <f t="shared" si="9"/>
        <v>0.29166666666666669</v>
      </c>
      <c r="K58" s="115">
        <v>3</v>
      </c>
      <c r="L58" s="116">
        <v>45734</v>
      </c>
      <c r="M58" s="116">
        <v>45734</v>
      </c>
      <c r="N58" s="116">
        <v>45771</v>
      </c>
      <c r="O58" s="117">
        <f t="shared" si="8"/>
        <v>1</v>
      </c>
      <c r="P58" s="118">
        <f t="shared" si="10"/>
        <v>0</v>
      </c>
      <c r="Q58" s="121"/>
      <c r="R58" s="119"/>
      <c r="S58" s="119"/>
      <c r="T58" s="119"/>
      <c r="U58" s="119"/>
      <c r="V58" s="151"/>
      <c r="W58" s="119"/>
      <c r="Y58" s="119"/>
      <c r="Z58" s="119"/>
      <c r="AA58" s="119"/>
      <c r="AB58" s="119"/>
      <c r="AC58" s="119"/>
      <c r="AD58" s="119"/>
      <c r="AE58" s="120"/>
      <c r="AF58" s="121"/>
      <c r="AG58" s="119"/>
      <c r="AH58" s="119"/>
      <c r="AI58" s="119"/>
      <c r="AJ58" s="119"/>
      <c r="AK58" s="121"/>
      <c r="AL58" s="119"/>
      <c r="AM58" s="119"/>
      <c r="AN58" s="119"/>
      <c r="AO58" s="119"/>
      <c r="AP58" s="119"/>
      <c r="AQ58" s="119"/>
      <c r="AR58" s="119"/>
      <c r="AS58" s="119"/>
      <c r="AT58" s="120"/>
      <c r="AU58" s="121"/>
      <c r="AV58" s="119"/>
      <c r="AW58" s="119"/>
      <c r="AX58" s="119"/>
      <c r="AY58" s="119"/>
      <c r="AZ58" s="119"/>
      <c r="BA58" s="119"/>
      <c r="BB58" s="119"/>
      <c r="BC58" s="119"/>
      <c r="BD58" s="119"/>
      <c r="BE58" s="119"/>
      <c r="BF58" s="119"/>
      <c r="BG58" s="119"/>
      <c r="BH58" s="119"/>
      <c r="BI58" s="120"/>
      <c r="BJ58" s="121"/>
      <c r="BK58" s="119"/>
      <c r="BL58" s="119"/>
      <c r="BM58" s="119"/>
      <c r="BN58" s="119"/>
      <c r="BO58" s="119"/>
      <c r="BP58" s="119"/>
      <c r="BQ58" s="119"/>
      <c r="BR58" s="119"/>
      <c r="BS58" s="119"/>
      <c r="BT58" s="119"/>
      <c r="BU58" s="119"/>
      <c r="BV58" s="119"/>
      <c r="BW58" s="119"/>
      <c r="BX58" s="120"/>
      <c r="BY58" s="68"/>
      <c r="BZ58" s="59"/>
    </row>
    <row r="59" spans="2:78" ht="16" x14ac:dyDescent="0.35">
      <c r="B59" s="161" t="s">
        <v>527</v>
      </c>
      <c r="C59" s="162" t="s">
        <v>528</v>
      </c>
      <c r="D59" s="163"/>
      <c r="E59" s="164"/>
      <c r="F59" s="164"/>
      <c r="G59" s="164"/>
      <c r="H59" s="165">
        <f>SUM(H60:H70)</f>
        <v>1.5416666666666665</v>
      </c>
      <c r="I59" s="166">
        <f>SUM(I60:I68)</f>
        <v>1.2499999999999998</v>
      </c>
      <c r="J59" s="167">
        <f>SUM(J60:J68)</f>
        <v>0.20833333333333334</v>
      </c>
      <c r="K59" s="168"/>
      <c r="L59" s="169"/>
      <c r="M59" s="170"/>
      <c r="N59" s="170"/>
      <c r="O59" s="171"/>
      <c r="P59" s="172"/>
      <c r="Q59" s="173"/>
      <c r="R59" s="174"/>
      <c r="S59" s="174"/>
      <c r="T59" s="174"/>
      <c r="U59" s="174"/>
      <c r="V59" s="174"/>
      <c r="W59" s="174"/>
      <c r="X59" s="175"/>
      <c r="Y59" s="174"/>
      <c r="Z59" s="174"/>
      <c r="AA59" s="174"/>
      <c r="AB59" s="174"/>
      <c r="AC59" s="174"/>
      <c r="AD59" s="174"/>
      <c r="AE59" s="176"/>
      <c r="AF59" s="173"/>
      <c r="AG59" s="174"/>
      <c r="AH59" s="174"/>
      <c r="AI59" s="174"/>
      <c r="AJ59" s="174"/>
      <c r="AK59" s="173"/>
      <c r="AL59" s="174"/>
      <c r="AM59" s="174"/>
      <c r="AN59" s="174"/>
      <c r="AO59" s="174"/>
      <c r="AP59" s="174"/>
      <c r="AQ59" s="174"/>
      <c r="AR59" s="174"/>
      <c r="AS59" s="174"/>
      <c r="AT59" s="176"/>
      <c r="AU59" s="173"/>
      <c r="AV59" s="174"/>
      <c r="AW59" s="174"/>
      <c r="AX59" s="174"/>
      <c r="AY59" s="174"/>
      <c r="AZ59" s="174"/>
      <c r="BA59" s="174"/>
      <c r="BB59" s="174"/>
      <c r="BC59" s="174"/>
      <c r="BD59" s="174"/>
      <c r="BE59" s="174"/>
      <c r="BF59" s="174"/>
      <c r="BG59" s="174"/>
      <c r="BH59" s="174"/>
      <c r="BI59" s="176"/>
      <c r="BJ59" s="173"/>
      <c r="BK59" s="174"/>
      <c r="BL59" s="174"/>
      <c r="BM59" s="174"/>
      <c r="BN59" s="174"/>
      <c r="BO59" s="174"/>
      <c r="BP59" s="174"/>
      <c r="BQ59" s="174"/>
      <c r="BR59" s="174"/>
      <c r="BS59" s="174"/>
      <c r="BT59" s="174"/>
      <c r="BU59" s="174"/>
      <c r="BV59" s="174"/>
      <c r="BW59" s="174"/>
      <c r="BX59" s="176"/>
      <c r="BY59" s="68"/>
      <c r="BZ59" s="59"/>
    </row>
    <row r="60" spans="2:78" ht="16" x14ac:dyDescent="0.35">
      <c r="B60" s="161" t="s">
        <v>529</v>
      </c>
      <c r="C60" s="109" t="s">
        <v>530</v>
      </c>
      <c r="D60" s="177" t="s">
        <v>446</v>
      </c>
      <c r="E60" s="143" t="s">
        <v>447</v>
      </c>
      <c r="F60" s="143" t="s">
        <v>531</v>
      </c>
      <c r="G60" s="143" t="s">
        <v>468</v>
      </c>
      <c r="H60" s="113">
        <v>0.16666666666666666</v>
      </c>
      <c r="I60" s="113">
        <v>0.16666666666666666</v>
      </c>
      <c r="J60" s="114">
        <f t="shared" ref="J60:J70" si="11">H60-I60</f>
        <v>0</v>
      </c>
      <c r="K60" s="178">
        <v>4</v>
      </c>
      <c r="L60" s="179">
        <v>45735</v>
      </c>
      <c r="M60" s="179">
        <v>45735</v>
      </c>
      <c r="N60" s="179">
        <v>45776</v>
      </c>
      <c r="O60" s="117">
        <f t="shared" si="8"/>
        <v>1</v>
      </c>
      <c r="P60" s="118">
        <f t="shared" ref="P60:P70" si="12">IFERROR(I60/H60,"")</f>
        <v>1</v>
      </c>
      <c r="Q60" s="173"/>
      <c r="R60" s="174"/>
      <c r="S60" s="174"/>
      <c r="T60" s="174"/>
      <c r="U60" s="174"/>
      <c r="V60" s="174"/>
      <c r="W60" s="174"/>
      <c r="X60" s="171"/>
      <c r="Y60" s="174"/>
      <c r="AA60" s="174"/>
      <c r="AB60" s="174"/>
      <c r="AC60" s="174"/>
      <c r="AD60" s="174"/>
      <c r="AE60" s="176"/>
      <c r="AF60" s="173"/>
      <c r="AG60" s="174"/>
      <c r="AH60" s="174"/>
      <c r="AI60" s="174"/>
      <c r="AJ60" s="174"/>
      <c r="AK60" s="173"/>
      <c r="AL60" s="174"/>
      <c r="AM60" s="174"/>
      <c r="AN60" s="174"/>
      <c r="AO60" s="174"/>
      <c r="AP60" s="174"/>
      <c r="AQ60" s="174"/>
      <c r="AR60" s="174"/>
      <c r="AS60" s="174"/>
      <c r="AT60" s="176"/>
      <c r="AU60" s="173"/>
      <c r="AV60" s="174"/>
      <c r="AW60" s="174"/>
      <c r="AX60" s="174"/>
      <c r="AY60" s="174"/>
      <c r="AZ60" s="174"/>
      <c r="BA60" s="174"/>
      <c r="BB60" s="174"/>
      <c r="BC60" s="174"/>
      <c r="BD60" s="174"/>
      <c r="BE60" s="174"/>
      <c r="BF60" s="174"/>
      <c r="BG60" s="174"/>
      <c r="BH60" s="174"/>
      <c r="BI60" s="176"/>
      <c r="BJ60" s="173"/>
      <c r="BK60" s="174"/>
      <c r="BL60" s="174"/>
      <c r="BM60" s="174"/>
      <c r="BN60" s="174"/>
      <c r="BO60" s="174"/>
      <c r="BP60" s="174"/>
      <c r="BQ60" s="174"/>
      <c r="BR60" s="174"/>
      <c r="BS60" s="174"/>
      <c r="BT60" s="174"/>
      <c r="BU60" s="174"/>
      <c r="BV60" s="174"/>
      <c r="BW60" s="174"/>
      <c r="BX60" s="176"/>
      <c r="BY60" s="68"/>
      <c r="BZ60" s="59"/>
    </row>
    <row r="61" spans="2:78" ht="16" x14ac:dyDescent="0.35">
      <c r="B61" s="161" t="s">
        <v>532</v>
      </c>
      <c r="C61" s="109" t="s">
        <v>533</v>
      </c>
      <c r="D61" s="177" t="s">
        <v>446</v>
      </c>
      <c r="E61" s="143" t="s">
        <v>447</v>
      </c>
      <c r="F61" s="143" t="s">
        <v>531</v>
      </c>
      <c r="G61" s="143" t="s">
        <v>468</v>
      </c>
      <c r="H61" s="113">
        <v>0.16666666666666666</v>
      </c>
      <c r="I61" s="113">
        <v>0.16666666666666666</v>
      </c>
      <c r="J61" s="114">
        <f t="shared" si="11"/>
        <v>0</v>
      </c>
      <c r="K61" s="178">
        <v>4</v>
      </c>
      <c r="L61" s="179">
        <v>45735</v>
      </c>
      <c r="M61" s="179">
        <v>45735</v>
      </c>
      <c r="N61" s="179">
        <v>45776</v>
      </c>
      <c r="O61" s="117">
        <f t="shared" si="8"/>
        <v>1</v>
      </c>
      <c r="P61" s="118">
        <f t="shared" si="12"/>
        <v>1</v>
      </c>
      <c r="Q61" s="173"/>
      <c r="R61" s="174"/>
      <c r="S61" s="174"/>
      <c r="T61" s="174"/>
      <c r="U61" s="174"/>
      <c r="V61" s="174"/>
      <c r="W61" s="174"/>
      <c r="X61" s="171"/>
      <c r="Y61" s="174"/>
      <c r="AA61" s="174"/>
      <c r="AB61" s="174"/>
      <c r="AC61" s="174"/>
      <c r="AD61" s="174"/>
      <c r="AE61" s="176"/>
      <c r="AF61" s="173"/>
      <c r="AG61" s="174"/>
      <c r="AH61" s="174"/>
      <c r="AI61" s="174"/>
      <c r="AJ61" s="174"/>
      <c r="AK61" s="173"/>
      <c r="AL61" s="174"/>
      <c r="AM61" s="174"/>
      <c r="AN61" s="174"/>
      <c r="AO61" s="174"/>
      <c r="AP61" s="174"/>
      <c r="AQ61" s="174"/>
      <c r="AR61" s="174"/>
      <c r="AS61" s="174"/>
      <c r="AT61" s="176"/>
      <c r="AU61" s="173"/>
      <c r="AV61" s="174"/>
      <c r="AW61" s="174"/>
      <c r="AX61" s="174"/>
      <c r="AY61" s="174"/>
      <c r="AZ61" s="174"/>
      <c r="BA61" s="174"/>
      <c r="BB61" s="174"/>
      <c r="BC61" s="174"/>
      <c r="BD61" s="174"/>
      <c r="BE61" s="174"/>
      <c r="BF61" s="174"/>
      <c r="BG61" s="174"/>
      <c r="BH61" s="174"/>
      <c r="BI61" s="176"/>
      <c r="BJ61" s="173"/>
      <c r="BK61" s="174"/>
      <c r="BL61" s="174"/>
      <c r="BM61" s="174"/>
      <c r="BN61" s="174"/>
      <c r="BO61" s="174"/>
      <c r="BP61" s="174"/>
      <c r="BQ61" s="174"/>
      <c r="BR61" s="174"/>
      <c r="BS61" s="174"/>
      <c r="BT61" s="174"/>
      <c r="BU61" s="174"/>
      <c r="BV61" s="174"/>
      <c r="BW61" s="174"/>
      <c r="BX61" s="176"/>
      <c r="BY61" s="68"/>
      <c r="BZ61" s="59"/>
    </row>
    <row r="62" spans="2:78" ht="16" x14ac:dyDescent="0.35">
      <c r="B62" s="161" t="s">
        <v>534</v>
      </c>
      <c r="C62" s="109" t="s">
        <v>535</v>
      </c>
      <c r="D62" s="177" t="s">
        <v>446</v>
      </c>
      <c r="E62" s="143" t="s">
        <v>447</v>
      </c>
      <c r="F62" s="143" t="s">
        <v>531</v>
      </c>
      <c r="G62" s="143" t="s">
        <v>468</v>
      </c>
      <c r="H62" s="113">
        <v>0.16666666666666666</v>
      </c>
      <c r="I62" s="113">
        <v>0.16666666666666666</v>
      </c>
      <c r="J62" s="114">
        <f t="shared" si="11"/>
        <v>0</v>
      </c>
      <c r="K62" s="178">
        <v>4</v>
      </c>
      <c r="L62" s="179">
        <v>45735</v>
      </c>
      <c r="M62" s="179">
        <v>45735</v>
      </c>
      <c r="N62" s="179">
        <v>45776</v>
      </c>
      <c r="O62" s="117">
        <f t="shared" si="8"/>
        <v>1</v>
      </c>
      <c r="P62" s="118">
        <f t="shared" si="12"/>
        <v>1</v>
      </c>
      <c r="Q62" s="173"/>
      <c r="R62" s="174"/>
      <c r="S62" s="174"/>
      <c r="T62" s="174"/>
      <c r="U62" s="174"/>
      <c r="V62" s="174"/>
      <c r="W62" s="174"/>
      <c r="X62" s="171"/>
      <c r="Y62" s="174"/>
      <c r="AA62" s="174"/>
      <c r="AB62" s="174"/>
      <c r="AC62" s="174"/>
      <c r="AD62" s="174"/>
      <c r="AE62" s="176"/>
      <c r="AF62" s="173"/>
      <c r="AG62" s="174"/>
      <c r="AH62" s="174"/>
      <c r="AI62" s="174"/>
      <c r="AJ62" s="174"/>
      <c r="AK62" s="173"/>
      <c r="AL62" s="174"/>
      <c r="AM62" s="174"/>
      <c r="AN62" s="174"/>
      <c r="AO62" s="174"/>
      <c r="AP62" s="174"/>
      <c r="AQ62" s="174"/>
      <c r="AR62" s="174"/>
      <c r="AS62" s="174"/>
      <c r="AT62" s="176"/>
      <c r="AU62" s="173"/>
      <c r="AV62" s="174"/>
      <c r="AW62" s="174"/>
      <c r="AX62" s="174"/>
      <c r="AY62" s="174"/>
      <c r="AZ62" s="174"/>
      <c r="BA62" s="174"/>
      <c r="BB62" s="174"/>
      <c r="BC62" s="174"/>
      <c r="BD62" s="174"/>
      <c r="BE62" s="174"/>
      <c r="BF62" s="174"/>
      <c r="BG62" s="174"/>
      <c r="BH62" s="174"/>
      <c r="BI62" s="176"/>
      <c r="BJ62" s="173"/>
      <c r="BK62" s="174"/>
      <c r="BL62" s="174"/>
      <c r="BM62" s="174"/>
      <c r="BN62" s="174"/>
      <c r="BO62" s="174"/>
      <c r="BP62" s="174"/>
      <c r="BQ62" s="174"/>
      <c r="BR62" s="174"/>
      <c r="BS62" s="174"/>
      <c r="BT62" s="174"/>
      <c r="BU62" s="174"/>
      <c r="BV62" s="174"/>
      <c r="BW62" s="174"/>
      <c r="BX62" s="176"/>
      <c r="BY62" s="68"/>
      <c r="BZ62" s="59"/>
    </row>
    <row r="63" spans="2:78" ht="16" x14ac:dyDescent="0.35">
      <c r="B63" s="161" t="s">
        <v>536</v>
      </c>
      <c r="C63" s="109" t="s">
        <v>523</v>
      </c>
      <c r="D63" s="177" t="s">
        <v>446</v>
      </c>
      <c r="E63" s="143" t="s">
        <v>447</v>
      </c>
      <c r="F63" s="143" t="s">
        <v>531</v>
      </c>
      <c r="G63" s="143" t="s">
        <v>468</v>
      </c>
      <c r="H63" s="113">
        <v>0.16666666666666666</v>
      </c>
      <c r="I63" s="113">
        <v>0.16666666666666666</v>
      </c>
      <c r="J63" s="114">
        <f t="shared" si="11"/>
        <v>0</v>
      </c>
      <c r="K63" s="178">
        <v>4</v>
      </c>
      <c r="L63" s="179">
        <v>45735</v>
      </c>
      <c r="M63" s="179">
        <v>45735</v>
      </c>
      <c r="N63" s="179">
        <v>45776</v>
      </c>
      <c r="O63" s="117">
        <f t="shared" si="8"/>
        <v>1</v>
      </c>
      <c r="P63" s="118">
        <f t="shared" si="12"/>
        <v>1</v>
      </c>
      <c r="Q63" s="173"/>
      <c r="R63" s="174"/>
      <c r="S63" s="174"/>
      <c r="T63" s="174"/>
      <c r="U63" s="174"/>
      <c r="V63" s="174"/>
      <c r="W63" s="174"/>
      <c r="X63" s="171"/>
      <c r="Y63" s="174"/>
      <c r="AA63" s="174"/>
      <c r="AB63" s="174"/>
      <c r="AC63" s="174"/>
      <c r="AD63" s="174"/>
      <c r="AE63" s="176"/>
      <c r="AF63" s="173"/>
      <c r="AG63" s="174"/>
      <c r="AH63" s="174"/>
      <c r="AI63" s="174"/>
      <c r="AJ63" s="174"/>
      <c r="AK63" s="173"/>
      <c r="AL63" s="174"/>
      <c r="AM63" s="174"/>
      <c r="AN63" s="174"/>
      <c r="AO63" s="174"/>
      <c r="AP63" s="174"/>
      <c r="AQ63" s="174"/>
      <c r="AR63" s="174"/>
      <c r="AS63" s="174"/>
      <c r="AT63" s="176"/>
      <c r="AU63" s="173"/>
      <c r="AV63" s="174"/>
      <c r="AW63" s="174"/>
      <c r="AX63" s="174"/>
      <c r="AY63" s="174"/>
      <c r="AZ63" s="174"/>
      <c r="BA63" s="174"/>
      <c r="BB63" s="174"/>
      <c r="BC63" s="174"/>
      <c r="BD63" s="174"/>
      <c r="BE63" s="174"/>
      <c r="BF63" s="174"/>
      <c r="BG63" s="174"/>
      <c r="BH63" s="174"/>
      <c r="BI63" s="176"/>
      <c r="BJ63" s="173"/>
      <c r="BK63" s="174"/>
      <c r="BL63" s="174"/>
      <c r="BM63" s="174"/>
      <c r="BN63" s="174"/>
      <c r="BO63" s="174"/>
      <c r="BP63" s="174"/>
      <c r="BQ63" s="174"/>
      <c r="BR63" s="174"/>
      <c r="BS63" s="174"/>
      <c r="BT63" s="174"/>
      <c r="BU63" s="174"/>
      <c r="BV63" s="174"/>
      <c r="BW63" s="174"/>
      <c r="BX63" s="176"/>
      <c r="BY63" s="68"/>
      <c r="BZ63" s="59"/>
    </row>
    <row r="64" spans="2:78" ht="16" x14ac:dyDescent="0.35">
      <c r="B64" s="161" t="s">
        <v>537</v>
      </c>
      <c r="C64" s="109" t="s">
        <v>538</v>
      </c>
      <c r="D64" s="177" t="s">
        <v>446</v>
      </c>
      <c r="E64" s="143" t="s">
        <v>447</v>
      </c>
      <c r="F64" s="143" t="s">
        <v>531</v>
      </c>
      <c r="G64" s="143" t="s">
        <v>468</v>
      </c>
      <c r="H64" s="113">
        <v>0.16666666666666666</v>
      </c>
      <c r="I64" s="113">
        <v>0.16666666666666666</v>
      </c>
      <c r="J64" s="114">
        <f t="shared" si="11"/>
        <v>0</v>
      </c>
      <c r="K64" s="178">
        <v>4</v>
      </c>
      <c r="L64" s="179">
        <v>45735</v>
      </c>
      <c r="M64" s="179">
        <v>45735</v>
      </c>
      <c r="N64" s="179">
        <v>45776</v>
      </c>
      <c r="O64" s="117">
        <f t="shared" si="8"/>
        <v>1</v>
      </c>
      <c r="P64" s="118">
        <f t="shared" si="12"/>
        <v>1</v>
      </c>
      <c r="Q64" s="173"/>
      <c r="R64" s="174"/>
      <c r="S64" s="174"/>
      <c r="T64" s="174"/>
      <c r="U64" s="174"/>
      <c r="V64" s="174"/>
      <c r="W64" s="174"/>
      <c r="X64" s="171"/>
      <c r="Y64" s="174"/>
      <c r="AA64" s="174"/>
      <c r="AB64" s="174"/>
      <c r="AC64" s="174"/>
      <c r="AD64" s="174"/>
      <c r="AE64" s="176"/>
      <c r="AF64" s="173"/>
      <c r="AG64" s="174"/>
      <c r="AH64" s="174"/>
      <c r="AI64" s="174"/>
      <c r="AJ64" s="174"/>
      <c r="AK64" s="173"/>
      <c r="AL64" s="174"/>
      <c r="AM64" s="174"/>
      <c r="AN64" s="174"/>
      <c r="AO64" s="174"/>
      <c r="AP64" s="174"/>
      <c r="AQ64" s="174"/>
      <c r="AR64" s="174"/>
      <c r="AS64" s="174"/>
      <c r="AT64" s="176"/>
      <c r="AU64" s="173"/>
      <c r="AV64" s="174"/>
      <c r="AW64" s="174"/>
      <c r="AX64" s="174"/>
      <c r="AY64" s="174"/>
      <c r="AZ64" s="174"/>
      <c r="BA64" s="174"/>
      <c r="BB64" s="174"/>
      <c r="BC64" s="174"/>
      <c r="BD64" s="174"/>
      <c r="BE64" s="174"/>
      <c r="BF64" s="174"/>
      <c r="BG64" s="174"/>
      <c r="BH64" s="174"/>
      <c r="BI64" s="176"/>
      <c r="BJ64" s="173"/>
      <c r="BK64" s="174"/>
      <c r="BL64" s="174"/>
      <c r="BM64" s="174"/>
      <c r="BN64" s="174"/>
      <c r="BO64" s="174"/>
      <c r="BP64" s="174"/>
      <c r="BQ64" s="174"/>
      <c r="BR64" s="174"/>
      <c r="BS64" s="174"/>
      <c r="BT64" s="174"/>
      <c r="BU64" s="174"/>
      <c r="BV64" s="174"/>
      <c r="BW64" s="174"/>
      <c r="BX64" s="176"/>
      <c r="BY64" s="68"/>
      <c r="BZ64" s="59"/>
    </row>
    <row r="65" spans="2:78" ht="16" x14ac:dyDescent="0.35">
      <c r="B65" s="161" t="s">
        <v>539</v>
      </c>
      <c r="C65" s="109" t="s">
        <v>540</v>
      </c>
      <c r="D65" s="177" t="s">
        <v>446</v>
      </c>
      <c r="E65" s="143" t="s">
        <v>447</v>
      </c>
      <c r="F65" s="143" t="s">
        <v>531</v>
      </c>
      <c r="G65" s="143" t="s">
        <v>468</v>
      </c>
      <c r="H65" s="113">
        <v>0.16666666666666666</v>
      </c>
      <c r="I65" s="113">
        <v>0.16666666666666666</v>
      </c>
      <c r="J65" s="114">
        <f t="shared" si="11"/>
        <v>0</v>
      </c>
      <c r="K65" s="178">
        <v>4</v>
      </c>
      <c r="L65" s="179">
        <v>45735</v>
      </c>
      <c r="M65" s="179">
        <v>45735</v>
      </c>
      <c r="N65" s="179">
        <v>45776</v>
      </c>
      <c r="O65" s="117">
        <f t="shared" si="8"/>
        <v>1</v>
      </c>
      <c r="P65" s="118">
        <f t="shared" si="12"/>
        <v>1</v>
      </c>
      <c r="Q65" s="173"/>
      <c r="R65" s="174"/>
      <c r="S65" s="174"/>
      <c r="T65" s="174"/>
      <c r="U65" s="174"/>
      <c r="V65" s="174"/>
      <c r="W65" s="174"/>
      <c r="X65" s="175"/>
      <c r="Y65" s="174"/>
      <c r="Z65" s="171"/>
      <c r="AA65" s="174"/>
      <c r="AC65" s="174"/>
      <c r="AD65" s="174"/>
      <c r="AE65" s="176"/>
      <c r="AF65" s="173"/>
      <c r="AG65" s="174"/>
      <c r="AH65" s="174"/>
      <c r="AI65" s="174"/>
      <c r="AJ65" s="174"/>
      <c r="AK65" s="173"/>
      <c r="AL65" s="174"/>
      <c r="AM65" s="174"/>
      <c r="AN65" s="174"/>
      <c r="AO65" s="174"/>
      <c r="AP65" s="174"/>
      <c r="AQ65" s="174"/>
      <c r="AR65" s="174"/>
      <c r="AS65" s="174"/>
      <c r="AT65" s="176"/>
      <c r="AU65" s="173"/>
      <c r="AV65" s="174"/>
      <c r="AW65" s="174"/>
      <c r="AX65" s="174"/>
      <c r="AY65" s="174"/>
      <c r="AZ65" s="174"/>
      <c r="BA65" s="174"/>
      <c r="BB65" s="174"/>
      <c r="BC65" s="174"/>
      <c r="BD65" s="174"/>
      <c r="BE65" s="174"/>
      <c r="BF65" s="174"/>
      <c r="BG65" s="174"/>
      <c r="BH65" s="174"/>
      <c r="BI65" s="176"/>
      <c r="BJ65" s="173"/>
      <c r="BK65" s="174"/>
      <c r="BL65" s="174"/>
      <c r="BM65" s="174"/>
      <c r="BN65" s="174"/>
      <c r="BO65" s="174"/>
      <c r="BP65" s="174"/>
      <c r="BQ65" s="174"/>
      <c r="BR65" s="174"/>
      <c r="BS65" s="174"/>
      <c r="BT65" s="174"/>
      <c r="BU65" s="174"/>
      <c r="BV65" s="174"/>
      <c r="BW65" s="174"/>
      <c r="BX65" s="176"/>
      <c r="BY65" s="68"/>
      <c r="BZ65" s="59"/>
    </row>
    <row r="66" spans="2:78" ht="16" x14ac:dyDescent="0.35">
      <c r="B66" s="161" t="s">
        <v>541</v>
      </c>
      <c r="C66" s="109" t="s">
        <v>542</v>
      </c>
      <c r="D66" s="177" t="s">
        <v>446</v>
      </c>
      <c r="E66" s="143" t="s">
        <v>447</v>
      </c>
      <c r="F66" s="143" t="s">
        <v>531</v>
      </c>
      <c r="G66" s="143" t="s">
        <v>468</v>
      </c>
      <c r="H66" s="113">
        <v>0.16666666666666666</v>
      </c>
      <c r="I66" s="113">
        <v>0.16666666666666666</v>
      </c>
      <c r="J66" s="114">
        <f t="shared" si="11"/>
        <v>0</v>
      </c>
      <c r="K66" s="178">
        <v>4</v>
      </c>
      <c r="L66" s="179">
        <v>45735</v>
      </c>
      <c r="M66" s="179">
        <v>45735</v>
      </c>
      <c r="N66" s="179">
        <v>45776</v>
      </c>
      <c r="O66" s="117">
        <f t="shared" si="8"/>
        <v>1</v>
      </c>
      <c r="P66" s="118">
        <f t="shared" si="12"/>
        <v>1</v>
      </c>
      <c r="Q66" s="173"/>
      <c r="R66" s="174"/>
      <c r="S66" s="174"/>
      <c r="T66" s="174"/>
      <c r="U66" s="174"/>
      <c r="V66" s="174"/>
      <c r="W66" s="174"/>
      <c r="X66" s="175"/>
      <c r="Y66" s="174"/>
      <c r="Z66" s="171"/>
      <c r="AA66" s="174"/>
      <c r="AC66" s="174"/>
      <c r="AD66" s="174"/>
      <c r="AE66" s="176"/>
      <c r="AF66" s="173"/>
      <c r="AG66" s="174"/>
      <c r="AH66" s="174"/>
      <c r="AI66" s="174"/>
      <c r="AJ66" s="174"/>
      <c r="AK66" s="173"/>
      <c r="AL66" s="174"/>
      <c r="AM66" s="174"/>
      <c r="AN66" s="174"/>
      <c r="AO66" s="174"/>
      <c r="AP66" s="174"/>
      <c r="AQ66" s="174"/>
      <c r="AR66" s="174"/>
      <c r="AS66" s="174"/>
      <c r="AT66" s="176"/>
      <c r="AU66" s="173"/>
      <c r="AV66" s="174"/>
      <c r="AW66" s="174"/>
      <c r="AX66" s="174"/>
      <c r="AY66" s="174"/>
      <c r="AZ66" s="174"/>
      <c r="BA66" s="174"/>
      <c r="BB66" s="174"/>
      <c r="BC66" s="174"/>
      <c r="BD66" s="174"/>
      <c r="BE66" s="174"/>
      <c r="BF66" s="174"/>
      <c r="BG66" s="174"/>
      <c r="BH66" s="174"/>
      <c r="BI66" s="176"/>
      <c r="BJ66" s="173"/>
      <c r="BK66" s="174"/>
      <c r="BL66" s="174"/>
      <c r="BM66" s="174"/>
      <c r="BN66" s="174"/>
      <c r="BO66" s="174"/>
      <c r="BP66" s="174"/>
      <c r="BQ66" s="174"/>
      <c r="BR66" s="174"/>
      <c r="BS66" s="174"/>
      <c r="BT66" s="174"/>
      <c r="BU66" s="174"/>
      <c r="BV66" s="174"/>
      <c r="BW66" s="174"/>
      <c r="BX66" s="176"/>
      <c r="BY66" s="68"/>
      <c r="BZ66" s="59"/>
    </row>
    <row r="67" spans="2:78" ht="16" x14ac:dyDescent="0.35">
      <c r="B67" s="161" t="s">
        <v>543</v>
      </c>
      <c r="C67" s="109" t="s">
        <v>513</v>
      </c>
      <c r="D67" s="177" t="s">
        <v>456</v>
      </c>
      <c r="E67" s="143" t="s">
        <v>457</v>
      </c>
      <c r="F67" s="143" t="s">
        <v>531</v>
      </c>
      <c r="G67" s="143" t="s">
        <v>468</v>
      </c>
      <c r="H67" s="113">
        <v>8.3333333333333329E-2</v>
      </c>
      <c r="I67" s="113">
        <v>8.3333333333333329E-2</v>
      </c>
      <c r="J67" s="114">
        <f t="shared" si="11"/>
        <v>0</v>
      </c>
      <c r="K67" s="178">
        <v>4</v>
      </c>
      <c r="L67" s="179">
        <v>45735</v>
      </c>
      <c r="M67" s="179">
        <v>45735</v>
      </c>
      <c r="N67" s="179">
        <v>45776</v>
      </c>
      <c r="O67" s="117">
        <f t="shared" si="8"/>
        <v>1</v>
      </c>
      <c r="P67" s="118">
        <f t="shared" si="12"/>
        <v>1</v>
      </c>
      <c r="Q67" s="173"/>
      <c r="R67" s="174"/>
      <c r="S67" s="174"/>
      <c r="T67" s="174"/>
      <c r="U67" s="174"/>
      <c r="V67" s="174"/>
      <c r="W67" s="174"/>
      <c r="X67" s="175"/>
      <c r="Y67" s="174"/>
      <c r="Z67" s="171"/>
      <c r="AA67" s="174"/>
      <c r="AC67" s="174"/>
      <c r="AD67" s="174"/>
      <c r="AE67" s="176"/>
      <c r="AF67" s="173"/>
      <c r="AG67" s="174"/>
      <c r="AH67" s="174"/>
      <c r="AI67" s="174"/>
      <c r="AJ67" s="174"/>
      <c r="AK67" s="173"/>
      <c r="AL67" s="174"/>
      <c r="AM67" s="174"/>
      <c r="AN67" s="174"/>
      <c r="AO67" s="174"/>
      <c r="AP67" s="174"/>
      <c r="AQ67" s="174"/>
      <c r="AR67" s="174"/>
      <c r="AS67" s="174"/>
      <c r="AT67" s="176"/>
      <c r="AU67" s="173"/>
      <c r="AV67" s="174"/>
      <c r="AW67" s="174"/>
      <c r="AX67" s="174"/>
      <c r="AY67" s="174"/>
      <c r="AZ67" s="174"/>
      <c r="BA67" s="174"/>
      <c r="BB67" s="174"/>
      <c r="BC67" s="174"/>
      <c r="BD67" s="174"/>
      <c r="BE67" s="174"/>
      <c r="BF67" s="174"/>
      <c r="BG67" s="174"/>
      <c r="BH67" s="174"/>
      <c r="BI67" s="176"/>
      <c r="BJ67" s="173"/>
      <c r="BK67" s="174"/>
      <c r="BL67" s="174"/>
      <c r="BM67" s="174"/>
      <c r="BN67" s="174"/>
      <c r="BO67" s="174"/>
      <c r="BP67" s="174"/>
      <c r="BQ67" s="174"/>
      <c r="BR67" s="174"/>
      <c r="BS67" s="174"/>
      <c r="BT67" s="174"/>
      <c r="BU67" s="174"/>
      <c r="BV67" s="174"/>
      <c r="BW67" s="174"/>
      <c r="BX67" s="176"/>
      <c r="BY67" s="68"/>
      <c r="BZ67" s="59"/>
    </row>
    <row r="68" spans="2:78" ht="16" x14ac:dyDescent="0.35">
      <c r="B68" s="161" t="s">
        <v>544</v>
      </c>
      <c r="C68" s="131" t="s">
        <v>545</v>
      </c>
      <c r="D68" s="177" t="s">
        <v>456</v>
      </c>
      <c r="E68" s="143" t="s">
        <v>473</v>
      </c>
      <c r="F68" s="143" t="s">
        <v>546</v>
      </c>
      <c r="G68" s="143"/>
      <c r="H68" s="113">
        <v>0.20833333333333334</v>
      </c>
      <c r="I68" s="180"/>
      <c r="J68" s="114">
        <f t="shared" si="11"/>
        <v>0.20833333333333334</v>
      </c>
      <c r="K68" s="178">
        <v>4</v>
      </c>
      <c r="L68" s="179">
        <v>45736</v>
      </c>
      <c r="M68" s="179">
        <v>45736</v>
      </c>
      <c r="N68" s="179">
        <v>45776</v>
      </c>
      <c r="O68" s="117">
        <f t="shared" si="8"/>
        <v>1</v>
      </c>
      <c r="P68" s="118">
        <f t="shared" si="12"/>
        <v>0</v>
      </c>
      <c r="Q68" s="173"/>
      <c r="R68" s="174"/>
      <c r="S68" s="174"/>
      <c r="T68" s="174"/>
      <c r="U68" s="174"/>
      <c r="V68" s="174"/>
      <c r="W68" s="174"/>
      <c r="X68" s="175"/>
      <c r="Y68" s="174"/>
      <c r="Z68" s="171"/>
      <c r="AA68" s="174"/>
      <c r="AC68" s="174"/>
      <c r="AD68" s="174"/>
      <c r="AE68" s="176"/>
      <c r="AF68" s="173"/>
      <c r="AG68" s="174"/>
      <c r="AH68" s="174"/>
      <c r="AI68" s="174"/>
      <c r="AJ68" s="174"/>
      <c r="AK68" s="173"/>
      <c r="AL68" s="174"/>
      <c r="AM68" s="174"/>
      <c r="AN68" s="174"/>
      <c r="AO68" s="174"/>
      <c r="AP68" s="174"/>
      <c r="AQ68" s="174"/>
      <c r="AR68" s="174"/>
      <c r="AS68" s="174"/>
      <c r="AT68" s="176"/>
      <c r="AU68" s="173"/>
      <c r="AV68" s="174"/>
      <c r="AW68" s="174"/>
      <c r="AX68" s="174"/>
      <c r="AY68" s="174"/>
      <c r="AZ68" s="174"/>
      <c r="BA68" s="174"/>
      <c r="BB68" s="174"/>
      <c r="BC68" s="174"/>
      <c r="BD68" s="174"/>
      <c r="BE68" s="174"/>
      <c r="BF68" s="174"/>
      <c r="BG68" s="174"/>
      <c r="BH68" s="174"/>
      <c r="BI68" s="176"/>
      <c r="BJ68" s="173"/>
      <c r="BK68" s="174"/>
      <c r="BL68" s="174"/>
      <c r="BM68" s="174"/>
      <c r="BN68" s="174"/>
      <c r="BO68" s="174"/>
      <c r="BP68" s="174"/>
      <c r="BQ68" s="174"/>
      <c r="BR68" s="174"/>
      <c r="BS68" s="174"/>
      <c r="BT68" s="174"/>
      <c r="BU68" s="174"/>
      <c r="BV68" s="174"/>
      <c r="BW68" s="174"/>
      <c r="BX68" s="176"/>
      <c r="BY68" s="68"/>
      <c r="BZ68" s="59"/>
    </row>
    <row r="69" spans="2:78" ht="16" x14ac:dyDescent="0.35">
      <c r="B69" s="161" t="s">
        <v>547</v>
      </c>
      <c r="C69" s="181" t="s">
        <v>548</v>
      </c>
      <c r="D69" s="177" t="s">
        <v>472</v>
      </c>
      <c r="E69" s="143" t="s">
        <v>473</v>
      </c>
      <c r="F69" s="143" t="s">
        <v>546</v>
      </c>
      <c r="G69" s="143"/>
      <c r="H69" s="133">
        <v>4.1666666666666664E-2</v>
      </c>
      <c r="I69" s="180"/>
      <c r="J69" s="182">
        <f t="shared" si="11"/>
        <v>4.1666666666666664E-2</v>
      </c>
      <c r="K69" s="178">
        <v>4</v>
      </c>
      <c r="L69" s="179">
        <v>45736</v>
      </c>
      <c r="M69" s="179">
        <v>45736</v>
      </c>
      <c r="N69" s="179">
        <v>45776</v>
      </c>
      <c r="O69" s="117">
        <f t="shared" si="8"/>
        <v>1</v>
      </c>
      <c r="P69" s="118">
        <f t="shared" si="12"/>
        <v>0</v>
      </c>
      <c r="Q69" s="173"/>
      <c r="R69" s="174"/>
      <c r="S69" s="174"/>
      <c r="T69" s="174"/>
      <c r="U69" s="174"/>
      <c r="V69" s="174"/>
      <c r="W69" s="174"/>
      <c r="X69" s="175"/>
      <c r="Y69" s="174"/>
      <c r="Z69" s="171"/>
      <c r="AA69" s="174"/>
      <c r="AC69" s="174"/>
      <c r="AD69" s="174"/>
      <c r="AE69" s="176"/>
      <c r="AF69" s="173"/>
      <c r="AG69" s="174"/>
      <c r="AH69" s="174"/>
      <c r="AI69" s="174"/>
      <c r="AJ69" s="174"/>
      <c r="AK69" s="173"/>
      <c r="AL69" s="174"/>
      <c r="AM69" s="174"/>
      <c r="AN69" s="174"/>
      <c r="AO69" s="174"/>
      <c r="AP69" s="174"/>
      <c r="AQ69" s="174"/>
      <c r="AR69" s="174"/>
      <c r="AS69" s="174"/>
      <c r="AT69" s="176"/>
      <c r="AU69" s="173"/>
      <c r="AV69" s="174"/>
      <c r="AW69" s="174"/>
      <c r="AX69" s="174"/>
      <c r="AY69" s="174"/>
      <c r="AZ69" s="174"/>
      <c r="BA69" s="174"/>
      <c r="BB69" s="174"/>
      <c r="BC69" s="174"/>
      <c r="BD69" s="174"/>
      <c r="BE69" s="174"/>
      <c r="BF69" s="174"/>
      <c r="BG69" s="174"/>
      <c r="BH69" s="174"/>
      <c r="BI69" s="176"/>
      <c r="BJ69" s="173"/>
      <c r="BK69" s="174"/>
      <c r="BL69" s="174"/>
      <c r="BM69" s="174"/>
      <c r="BN69" s="174"/>
      <c r="BO69" s="174"/>
      <c r="BP69" s="174"/>
      <c r="BQ69" s="174"/>
      <c r="BR69" s="174"/>
      <c r="BS69" s="174"/>
      <c r="BT69" s="174"/>
      <c r="BU69" s="174"/>
      <c r="BV69" s="174"/>
      <c r="BW69" s="174"/>
      <c r="BX69" s="176"/>
      <c r="BY69" s="68"/>
      <c r="BZ69" s="59"/>
    </row>
    <row r="70" spans="2:78" ht="16" x14ac:dyDescent="0.35">
      <c r="B70" s="161" t="s">
        <v>549</v>
      </c>
      <c r="C70" s="183" t="s">
        <v>550</v>
      </c>
      <c r="D70" s="177" t="s">
        <v>507</v>
      </c>
      <c r="E70" s="143" t="s">
        <v>473</v>
      </c>
      <c r="F70" s="143" t="s">
        <v>546</v>
      </c>
      <c r="G70" s="143"/>
      <c r="H70" s="133">
        <v>4.1666666666666664E-2</v>
      </c>
      <c r="I70" s="180"/>
      <c r="J70" s="182">
        <f t="shared" si="11"/>
        <v>4.1666666666666664E-2</v>
      </c>
      <c r="K70" s="178">
        <v>4</v>
      </c>
      <c r="L70" s="179">
        <v>45737</v>
      </c>
      <c r="M70" s="179">
        <v>45737</v>
      </c>
      <c r="N70" s="179">
        <v>45776</v>
      </c>
      <c r="O70" s="117">
        <f t="shared" si="8"/>
        <v>1</v>
      </c>
      <c r="P70" s="118">
        <f t="shared" si="12"/>
        <v>0</v>
      </c>
      <c r="Q70" s="173"/>
      <c r="R70" s="174"/>
      <c r="S70" s="174"/>
      <c r="T70" s="174"/>
      <c r="U70" s="174"/>
      <c r="V70" s="174"/>
      <c r="W70" s="174"/>
      <c r="X70" s="175"/>
      <c r="Y70" s="174"/>
      <c r="Z70" s="171"/>
      <c r="AA70" s="174"/>
      <c r="AC70" s="174"/>
      <c r="AD70" s="174"/>
      <c r="AE70" s="176"/>
      <c r="AF70" s="173"/>
      <c r="AG70" s="174"/>
      <c r="AH70" s="174"/>
      <c r="AI70" s="174"/>
      <c r="AJ70" s="174"/>
      <c r="AK70" s="173"/>
      <c r="AL70" s="174"/>
      <c r="AM70" s="174"/>
      <c r="AN70" s="174"/>
      <c r="AO70" s="174"/>
      <c r="AP70" s="174"/>
      <c r="AQ70" s="174"/>
      <c r="AR70" s="174"/>
      <c r="AS70" s="174"/>
      <c r="AT70" s="176"/>
      <c r="AU70" s="173"/>
      <c r="AV70" s="174"/>
      <c r="AW70" s="174"/>
      <c r="AX70" s="174"/>
      <c r="AY70" s="174"/>
      <c r="AZ70" s="174"/>
      <c r="BA70" s="174"/>
      <c r="BB70" s="174"/>
      <c r="BC70" s="174"/>
      <c r="BD70" s="174"/>
      <c r="BE70" s="174"/>
      <c r="BF70" s="174"/>
      <c r="BG70" s="174"/>
      <c r="BH70" s="174"/>
      <c r="BI70" s="176"/>
      <c r="BJ70" s="173"/>
      <c r="BK70" s="174"/>
      <c r="BL70" s="174"/>
      <c r="BM70" s="174"/>
      <c r="BN70" s="174"/>
      <c r="BO70" s="174"/>
      <c r="BP70" s="174"/>
      <c r="BQ70" s="174"/>
      <c r="BR70" s="174"/>
      <c r="BS70" s="174"/>
      <c r="BT70" s="174"/>
      <c r="BU70" s="174"/>
      <c r="BV70" s="174"/>
      <c r="BW70" s="174"/>
      <c r="BX70" s="176"/>
      <c r="BY70" s="68"/>
      <c r="BZ70" s="59"/>
    </row>
    <row r="71" spans="2:78" ht="16" x14ac:dyDescent="0.35">
      <c r="B71" s="161" t="s">
        <v>551</v>
      </c>
      <c r="C71" s="184" t="s">
        <v>552</v>
      </c>
      <c r="D71" s="163"/>
      <c r="E71" s="164"/>
      <c r="F71" s="164"/>
      <c r="G71" s="164"/>
      <c r="H71" s="165">
        <f>SUM(H72)</f>
        <v>0.25</v>
      </c>
      <c r="I71" s="165">
        <f>SUM(I72)</f>
        <v>0</v>
      </c>
      <c r="J71" s="165">
        <f>SUM(J72)</f>
        <v>0.25</v>
      </c>
      <c r="K71" s="168"/>
      <c r="L71" s="169"/>
      <c r="M71" s="170"/>
      <c r="N71" s="170"/>
      <c r="O71" s="171"/>
      <c r="P71" s="172"/>
      <c r="Q71" s="173"/>
      <c r="R71" s="174"/>
      <c r="S71" s="174"/>
      <c r="T71" s="174"/>
      <c r="U71" s="174"/>
      <c r="V71" s="174"/>
      <c r="W71" s="174"/>
      <c r="X71" s="175"/>
      <c r="Y71" s="174"/>
      <c r="Z71" s="174"/>
      <c r="AA71" s="174"/>
      <c r="AB71" s="174"/>
      <c r="AC71" s="174"/>
      <c r="AD71" s="174"/>
      <c r="AE71" s="176"/>
      <c r="AF71" s="173"/>
      <c r="AG71" s="174"/>
      <c r="AH71" s="174"/>
      <c r="AI71" s="174"/>
      <c r="AJ71" s="174"/>
      <c r="AK71" s="173"/>
      <c r="AL71" s="174"/>
      <c r="AM71" s="174"/>
      <c r="AN71" s="174"/>
      <c r="AO71" s="174"/>
      <c r="AP71" s="174"/>
      <c r="AQ71" s="174"/>
      <c r="AR71" s="174"/>
      <c r="AS71" s="174"/>
      <c r="AT71" s="176"/>
      <c r="AU71" s="173"/>
      <c r="AV71" s="174"/>
      <c r="AW71" s="174"/>
      <c r="AX71" s="174"/>
      <c r="AY71" s="174"/>
      <c r="AZ71" s="174"/>
      <c r="BA71" s="174"/>
      <c r="BB71" s="174"/>
      <c r="BC71" s="174"/>
      <c r="BD71" s="174"/>
      <c r="BE71" s="174"/>
      <c r="BF71" s="174"/>
      <c r="BG71" s="174"/>
      <c r="BH71" s="174"/>
      <c r="BI71" s="176"/>
      <c r="BJ71" s="173"/>
      <c r="BK71" s="174"/>
      <c r="BL71" s="174"/>
      <c r="BM71" s="174"/>
      <c r="BN71" s="174"/>
      <c r="BO71" s="174"/>
      <c r="BP71" s="174"/>
      <c r="BQ71" s="174"/>
      <c r="BR71" s="174"/>
      <c r="BS71" s="174"/>
      <c r="BT71" s="174"/>
      <c r="BU71" s="174"/>
      <c r="BV71" s="174"/>
      <c r="BW71" s="174"/>
      <c r="BX71" s="176"/>
      <c r="BY71" s="68"/>
      <c r="BZ71" s="59"/>
    </row>
    <row r="72" spans="2:78" ht="16" x14ac:dyDescent="0.35">
      <c r="B72" s="161" t="s">
        <v>553</v>
      </c>
      <c r="C72" s="185" t="s">
        <v>554</v>
      </c>
      <c r="D72" s="177" t="s">
        <v>472</v>
      </c>
      <c r="E72" s="143" t="s">
        <v>473</v>
      </c>
      <c r="F72" s="143" t="s">
        <v>546</v>
      </c>
      <c r="G72" s="143"/>
      <c r="H72" s="133">
        <v>0.25</v>
      </c>
      <c r="I72" s="180"/>
      <c r="J72" s="182">
        <f>H72-I72</f>
        <v>0.25</v>
      </c>
      <c r="K72" s="178">
        <v>4</v>
      </c>
      <c r="L72" s="179">
        <v>45740</v>
      </c>
      <c r="M72" s="179">
        <v>45740</v>
      </c>
      <c r="N72" s="179">
        <v>45778</v>
      </c>
      <c r="O72" s="117">
        <f t="shared" si="8"/>
        <v>1</v>
      </c>
      <c r="P72" s="118">
        <f>IFERROR(I72/H72,"")</f>
        <v>0</v>
      </c>
      <c r="Q72" s="173"/>
      <c r="R72" s="174"/>
      <c r="S72" s="174"/>
      <c r="T72" s="174"/>
      <c r="U72" s="174"/>
      <c r="V72" s="174"/>
      <c r="W72" s="174"/>
      <c r="X72" s="175"/>
      <c r="Y72" s="174"/>
      <c r="Z72" s="174"/>
      <c r="AA72" s="171"/>
      <c r="AB72" s="174"/>
      <c r="AC72" s="174"/>
      <c r="AD72" s="174"/>
      <c r="AE72" s="176"/>
      <c r="AF72" s="173"/>
      <c r="AG72" s="174"/>
      <c r="AH72" s="174"/>
      <c r="AI72" s="174"/>
      <c r="AJ72" s="174"/>
      <c r="AK72" s="173"/>
      <c r="AL72" s="174"/>
      <c r="AM72" s="174"/>
      <c r="AN72" s="174"/>
      <c r="AO72" s="174"/>
      <c r="AP72" s="174"/>
      <c r="AQ72" s="174"/>
      <c r="AR72" s="174"/>
      <c r="AS72" s="174"/>
      <c r="AT72" s="176"/>
      <c r="AU72" s="173"/>
      <c r="AV72" s="174"/>
      <c r="AW72" s="174"/>
      <c r="AX72" s="174"/>
      <c r="AY72" s="174"/>
      <c r="AZ72" s="174"/>
      <c r="BA72" s="174"/>
      <c r="BB72" s="174"/>
      <c r="BC72" s="174"/>
      <c r="BD72" s="174"/>
      <c r="BE72" s="174"/>
      <c r="BF72" s="174"/>
      <c r="BG72" s="174"/>
      <c r="BH72" s="174"/>
      <c r="BI72" s="176"/>
      <c r="BJ72" s="173"/>
      <c r="BK72" s="174"/>
      <c r="BL72" s="174"/>
      <c r="BM72" s="174"/>
      <c r="BN72" s="174"/>
      <c r="BO72" s="174"/>
      <c r="BP72" s="174"/>
      <c r="BQ72" s="174"/>
      <c r="BR72" s="174"/>
      <c r="BS72" s="174"/>
      <c r="BT72" s="174"/>
      <c r="BU72" s="174"/>
      <c r="BV72" s="174"/>
      <c r="BW72" s="174"/>
      <c r="BX72" s="176"/>
      <c r="BY72" s="68"/>
      <c r="BZ72" s="59"/>
    </row>
    <row r="73" spans="2:78" ht="16" x14ac:dyDescent="0.35">
      <c r="B73" s="161" t="s">
        <v>555</v>
      </c>
      <c r="C73" s="185" t="s">
        <v>556</v>
      </c>
      <c r="D73" s="177" t="s">
        <v>472</v>
      </c>
      <c r="E73" s="143" t="s">
        <v>473</v>
      </c>
      <c r="F73" s="143" t="s">
        <v>546</v>
      </c>
      <c r="G73" s="143"/>
      <c r="H73" s="133">
        <v>4.1666666666666664E-2</v>
      </c>
      <c r="I73" s="180"/>
      <c r="J73" s="182">
        <f>H73-I73</f>
        <v>4.1666666666666664E-2</v>
      </c>
      <c r="K73" s="178">
        <v>4</v>
      </c>
      <c r="L73" s="179">
        <v>45742</v>
      </c>
      <c r="M73" s="179">
        <v>45742</v>
      </c>
      <c r="N73" s="179">
        <v>45778</v>
      </c>
      <c r="O73" s="117">
        <f t="shared" si="8"/>
        <v>1</v>
      </c>
      <c r="P73" s="172">
        <f>IFERROR(I73/H73,"")</f>
        <v>0</v>
      </c>
      <c r="Q73" s="173"/>
      <c r="R73" s="174"/>
      <c r="S73" s="174"/>
      <c r="T73" s="174"/>
      <c r="U73" s="174"/>
      <c r="V73" s="174"/>
      <c r="W73" s="174"/>
      <c r="X73" s="175"/>
      <c r="Y73" s="174"/>
      <c r="Z73" s="174"/>
      <c r="AA73" s="171"/>
      <c r="AB73" s="174"/>
      <c r="AC73" s="174"/>
      <c r="AD73" s="174"/>
      <c r="AE73" s="176"/>
      <c r="AF73" s="173"/>
      <c r="AG73" s="174"/>
      <c r="AH73" s="174"/>
      <c r="AI73" s="174"/>
      <c r="AJ73" s="174"/>
      <c r="AK73" s="173"/>
      <c r="AL73" s="174"/>
      <c r="AM73" s="174"/>
      <c r="AN73" s="174"/>
      <c r="AO73" s="174"/>
      <c r="AP73" s="174"/>
      <c r="AQ73" s="174"/>
      <c r="AR73" s="174"/>
      <c r="AS73" s="174"/>
      <c r="AT73" s="176"/>
      <c r="AU73" s="173"/>
      <c r="AV73" s="174"/>
      <c r="AW73" s="174"/>
      <c r="AX73" s="174"/>
      <c r="AY73" s="174"/>
      <c r="AZ73" s="174"/>
      <c r="BA73" s="174"/>
      <c r="BB73" s="174"/>
      <c r="BC73" s="174"/>
      <c r="BD73" s="174"/>
      <c r="BE73" s="174"/>
      <c r="BF73" s="174"/>
      <c r="BG73" s="174"/>
      <c r="BH73" s="174"/>
      <c r="BI73" s="176"/>
      <c r="BJ73" s="173"/>
      <c r="BK73" s="174"/>
      <c r="BL73" s="174"/>
      <c r="BM73" s="174"/>
      <c r="BN73" s="174"/>
      <c r="BO73" s="174"/>
      <c r="BP73" s="174"/>
      <c r="BQ73" s="174"/>
      <c r="BR73" s="174"/>
      <c r="BS73" s="174"/>
      <c r="BT73" s="174"/>
      <c r="BU73" s="174"/>
      <c r="BV73" s="174"/>
      <c r="BW73" s="174"/>
      <c r="BX73" s="176"/>
      <c r="BY73" s="68"/>
      <c r="BZ73" s="59"/>
    </row>
    <row r="74" spans="2:78" ht="16" x14ac:dyDescent="0.35">
      <c r="B74" s="161" t="s">
        <v>557</v>
      </c>
      <c r="C74" s="186" t="s">
        <v>558</v>
      </c>
      <c r="D74" s="187"/>
      <c r="E74" s="188"/>
      <c r="F74" s="188"/>
      <c r="G74" s="188"/>
      <c r="H74" s="189">
        <f>SUM(H75:H83)</f>
        <v>0.5625</v>
      </c>
      <c r="I74" s="189">
        <f>SUM(I75:I78)</f>
        <v>0.24999999999999997</v>
      </c>
      <c r="J74" s="189">
        <f>SUM(J75:J83)</f>
        <v>0</v>
      </c>
      <c r="K74" s="190"/>
      <c r="L74" s="191"/>
      <c r="M74" s="192"/>
      <c r="N74" s="192"/>
      <c r="O74" s="193"/>
      <c r="P74" s="172"/>
      <c r="Q74" s="173"/>
      <c r="R74" s="174"/>
      <c r="S74" s="174"/>
      <c r="T74" s="174"/>
      <c r="U74" s="174"/>
      <c r="V74" s="174"/>
      <c r="W74" s="174"/>
      <c r="X74" s="175"/>
      <c r="Y74" s="174"/>
      <c r="Z74" s="174"/>
      <c r="AA74" s="171"/>
      <c r="AB74" s="174"/>
      <c r="AC74" s="174"/>
      <c r="AD74" s="174"/>
      <c r="AE74" s="176"/>
      <c r="AF74" s="173"/>
      <c r="AG74" s="174"/>
      <c r="AH74" s="174"/>
      <c r="AI74" s="174"/>
      <c r="AJ74" s="174"/>
      <c r="AK74" s="173"/>
      <c r="AL74" s="174"/>
      <c r="AM74" s="174"/>
      <c r="AN74" s="174"/>
      <c r="AO74" s="174"/>
      <c r="AP74" s="174"/>
      <c r="AQ74" s="174"/>
      <c r="AR74" s="174"/>
      <c r="AS74" s="174"/>
      <c r="AT74" s="176"/>
      <c r="AU74" s="173"/>
      <c r="AV74" s="174"/>
      <c r="AW74" s="174"/>
      <c r="AX74" s="174"/>
      <c r="AY74" s="174"/>
      <c r="AZ74" s="174"/>
      <c r="BA74" s="174"/>
      <c r="BB74" s="174"/>
      <c r="BC74" s="174"/>
      <c r="BD74" s="174"/>
      <c r="BE74" s="174"/>
      <c r="BF74" s="174"/>
      <c r="BG74" s="174"/>
      <c r="BH74" s="174"/>
      <c r="BI74" s="176"/>
      <c r="BJ74" s="173"/>
      <c r="BK74" s="174"/>
      <c r="BL74" s="174"/>
      <c r="BM74" s="174"/>
      <c r="BN74" s="174"/>
      <c r="BO74" s="174"/>
      <c r="BP74" s="174"/>
      <c r="BQ74" s="174"/>
      <c r="BR74" s="174"/>
      <c r="BS74" s="174"/>
      <c r="BT74" s="174"/>
      <c r="BU74" s="174"/>
      <c r="BV74" s="174"/>
      <c r="BW74" s="174"/>
      <c r="BX74" s="176"/>
      <c r="BY74" s="68"/>
      <c r="BZ74" s="59"/>
    </row>
    <row r="75" spans="2:78" ht="16" x14ac:dyDescent="0.35">
      <c r="B75" s="161" t="s">
        <v>559</v>
      </c>
      <c r="C75" s="194" t="s">
        <v>560</v>
      </c>
      <c r="D75" s="177" t="s">
        <v>456</v>
      </c>
      <c r="E75" s="143" t="s">
        <v>473</v>
      </c>
      <c r="F75" s="143" t="s">
        <v>448</v>
      </c>
      <c r="G75" s="143" t="s">
        <v>448</v>
      </c>
      <c r="H75" s="133">
        <v>4.1666666666666664E-2</v>
      </c>
      <c r="I75" s="133">
        <v>4.1666666666666664E-2</v>
      </c>
      <c r="J75" s="182">
        <f t="shared" ref="J75:J83" si="13">H75-I75</f>
        <v>0</v>
      </c>
      <c r="K75" s="178"/>
      <c r="L75" s="179">
        <v>45735</v>
      </c>
      <c r="M75" s="179">
        <v>45735</v>
      </c>
      <c r="N75" s="179"/>
      <c r="O75" s="117">
        <f t="shared" si="8"/>
        <v>1</v>
      </c>
      <c r="P75" s="172">
        <f t="shared" ref="P75:P83" si="14">IFERROR(I75/H75,"")</f>
        <v>1</v>
      </c>
      <c r="Q75" s="173"/>
      <c r="R75" s="174"/>
      <c r="S75" s="174"/>
      <c r="T75" s="174"/>
      <c r="U75" s="174"/>
      <c r="V75" s="174"/>
      <c r="W75" s="174"/>
      <c r="X75" s="175"/>
      <c r="Y75" s="174"/>
      <c r="Z75" s="174"/>
      <c r="AA75" s="175"/>
      <c r="AB75" s="174"/>
      <c r="AC75" s="195"/>
      <c r="AD75" s="174"/>
      <c r="AE75" s="176"/>
      <c r="AF75" s="173"/>
      <c r="AG75" s="174"/>
      <c r="AH75" s="174"/>
      <c r="AI75" s="174"/>
      <c r="AJ75" s="174"/>
      <c r="AK75" s="173"/>
      <c r="AL75" s="174"/>
      <c r="AM75" s="174"/>
      <c r="AN75" s="174"/>
      <c r="AO75" s="174"/>
      <c r="AP75" s="174"/>
      <c r="AQ75" s="174"/>
      <c r="AR75" s="174"/>
      <c r="AS75" s="174"/>
      <c r="AT75" s="176"/>
      <c r="AU75" s="173"/>
      <c r="AV75" s="174"/>
      <c r="AW75" s="174"/>
      <c r="AX75" s="174"/>
      <c r="AY75" s="174"/>
      <c r="AZ75" s="174"/>
      <c r="BA75" s="174"/>
      <c r="BB75" s="174"/>
      <c r="BC75" s="174"/>
      <c r="BD75" s="174"/>
      <c r="BE75" s="174"/>
      <c r="BF75" s="174"/>
      <c r="BG75" s="174"/>
      <c r="BH75" s="174"/>
      <c r="BI75" s="176"/>
      <c r="BJ75" s="173"/>
      <c r="BK75" s="174"/>
      <c r="BL75" s="174"/>
      <c r="BM75" s="174"/>
      <c r="BN75" s="174"/>
      <c r="BO75" s="174"/>
      <c r="BP75" s="174"/>
      <c r="BQ75" s="174"/>
      <c r="BR75" s="174"/>
      <c r="BS75" s="174"/>
      <c r="BT75" s="174"/>
      <c r="BU75" s="174"/>
      <c r="BV75" s="174"/>
      <c r="BW75" s="174"/>
      <c r="BX75" s="176"/>
      <c r="BY75" s="68"/>
      <c r="BZ75" s="59"/>
    </row>
    <row r="76" spans="2:78" ht="16" x14ac:dyDescent="0.35">
      <c r="B76" s="161" t="s">
        <v>561</v>
      </c>
      <c r="C76" s="194" t="s">
        <v>562</v>
      </c>
      <c r="D76" s="177" t="s">
        <v>456</v>
      </c>
      <c r="E76" s="143" t="s">
        <v>473</v>
      </c>
      <c r="F76" s="143" t="s">
        <v>448</v>
      </c>
      <c r="G76" s="143" t="s">
        <v>448</v>
      </c>
      <c r="H76" s="133">
        <v>8.3333333333333329E-2</v>
      </c>
      <c r="I76" s="133">
        <v>8.3333333333333329E-2</v>
      </c>
      <c r="J76" s="182">
        <f t="shared" si="13"/>
        <v>0</v>
      </c>
      <c r="K76" s="178"/>
      <c r="L76" s="179">
        <v>45735</v>
      </c>
      <c r="M76" s="179">
        <v>45735</v>
      </c>
      <c r="N76" s="179"/>
      <c r="O76" s="117">
        <f t="shared" si="8"/>
        <v>1</v>
      </c>
      <c r="P76" s="172">
        <f t="shared" si="14"/>
        <v>1</v>
      </c>
      <c r="Q76" s="173"/>
      <c r="R76" s="174"/>
      <c r="S76" s="174"/>
      <c r="T76" s="174"/>
      <c r="U76" s="174"/>
      <c r="V76" s="174"/>
      <c r="W76" s="174"/>
      <c r="X76" s="175"/>
      <c r="Y76" s="174"/>
      <c r="Z76" s="174"/>
      <c r="AA76" s="175"/>
      <c r="AB76" s="174"/>
      <c r="AC76" s="195"/>
      <c r="AD76" s="174"/>
      <c r="AE76" s="176"/>
      <c r="AF76" s="173"/>
      <c r="AG76" s="174"/>
      <c r="AH76" s="174"/>
      <c r="AI76" s="174"/>
      <c r="AJ76" s="174"/>
      <c r="AK76" s="173"/>
      <c r="AL76" s="174"/>
      <c r="AM76" s="174"/>
      <c r="AN76" s="174"/>
      <c r="AO76" s="174"/>
      <c r="AP76" s="174"/>
      <c r="AQ76" s="174"/>
      <c r="AR76" s="174"/>
      <c r="AS76" s="174"/>
      <c r="AT76" s="176"/>
      <c r="AU76" s="173"/>
      <c r="AV76" s="174"/>
      <c r="AW76" s="174"/>
      <c r="AX76" s="174"/>
      <c r="AY76" s="174"/>
      <c r="AZ76" s="174"/>
      <c r="BA76" s="174"/>
      <c r="BB76" s="174"/>
      <c r="BC76" s="174"/>
      <c r="BD76" s="174"/>
      <c r="BE76" s="174"/>
      <c r="BF76" s="174"/>
      <c r="BG76" s="174"/>
      <c r="BH76" s="174"/>
      <c r="BI76" s="176"/>
      <c r="BJ76" s="173"/>
      <c r="BK76" s="174"/>
      <c r="BL76" s="174"/>
      <c r="BM76" s="174"/>
      <c r="BN76" s="174"/>
      <c r="BO76" s="174"/>
      <c r="BP76" s="174"/>
      <c r="BQ76" s="174"/>
      <c r="BR76" s="174"/>
      <c r="BS76" s="174"/>
      <c r="BT76" s="174"/>
      <c r="BU76" s="174"/>
      <c r="BV76" s="174"/>
      <c r="BW76" s="174"/>
      <c r="BX76" s="176"/>
      <c r="BY76" s="68"/>
      <c r="BZ76" s="59"/>
    </row>
    <row r="77" spans="2:78" ht="16" x14ac:dyDescent="0.35">
      <c r="B77" s="161" t="s">
        <v>563</v>
      </c>
      <c r="C77" s="196" t="s">
        <v>564</v>
      </c>
      <c r="D77" s="177" t="s">
        <v>456</v>
      </c>
      <c r="E77" s="143" t="s">
        <v>473</v>
      </c>
      <c r="F77" s="143" t="s">
        <v>448</v>
      </c>
      <c r="G77" s="143" t="s">
        <v>448</v>
      </c>
      <c r="H77" s="133">
        <v>8.3333333333333329E-2</v>
      </c>
      <c r="I77" s="133">
        <v>8.3333333333333329E-2</v>
      </c>
      <c r="J77" s="182">
        <f t="shared" si="13"/>
        <v>0</v>
      </c>
      <c r="K77" s="178"/>
      <c r="L77" s="179">
        <v>45737</v>
      </c>
      <c r="M77" s="179">
        <v>45735</v>
      </c>
      <c r="N77" s="179"/>
      <c r="O77" s="117">
        <f t="shared" si="8"/>
        <v>-1</v>
      </c>
      <c r="P77" s="172">
        <f t="shared" si="14"/>
        <v>1</v>
      </c>
      <c r="Q77" s="173"/>
      <c r="R77" s="174"/>
      <c r="S77" s="174"/>
      <c r="T77" s="174"/>
      <c r="U77" s="174"/>
      <c r="V77" s="174"/>
      <c r="W77" s="174"/>
      <c r="X77" s="175"/>
      <c r="Y77" s="174"/>
      <c r="Z77" s="174"/>
      <c r="AA77" s="175"/>
      <c r="AB77" s="174"/>
      <c r="AC77" s="174"/>
      <c r="AD77" s="174"/>
      <c r="AE77" s="197"/>
      <c r="AF77" s="173"/>
      <c r="AG77" s="174"/>
      <c r="AH77" s="174"/>
      <c r="AI77" s="174"/>
      <c r="AJ77" s="174"/>
      <c r="AK77" s="173"/>
      <c r="AL77" s="174"/>
      <c r="AM77" s="174"/>
      <c r="AN77" s="174"/>
      <c r="AO77" s="174"/>
      <c r="AP77" s="174"/>
      <c r="AQ77" s="174"/>
      <c r="AR77" s="174"/>
      <c r="AS77" s="174"/>
      <c r="AT77" s="176"/>
      <c r="AU77" s="173"/>
      <c r="AV77" s="174"/>
      <c r="AW77" s="174"/>
      <c r="AX77" s="174"/>
      <c r="AY77" s="174"/>
      <c r="AZ77" s="174"/>
      <c r="BA77" s="174"/>
      <c r="BB77" s="174"/>
      <c r="BC77" s="174"/>
      <c r="BD77" s="174"/>
      <c r="BE77" s="174"/>
      <c r="BF77" s="174"/>
      <c r="BG77" s="174"/>
      <c r="BH77" s="174"/>
      <c r="BI77" s="176"/>
      <c r="BJ77" s="173"/>
      <c r="BK77" s="174"/>
      <c r="BL77" s="174"/>
      <c r="BM77" s="174"/>
      <c r="BN77" s="174"/>
      <c r="BO77" s="174"/>
      <c r="BP77" s="174"/>
      <c r="BQ77" s="174"/>
      <c r="BR77" s="174"/>
      <c r="BS77" s="174"/>
      <c r="BT77" s="174"/>
      <c r="BU77" s="174"/>
      <c r="BV77" s="174"/>
      <c r="BW77" s="174"/>
      <c r="BX77" s="176"/>
      <c r="BY77" s="68"/>
      <c r="BZ77" s="59"/>
    </row>
    <row r="78" spans="2:78" ht="16" x14ac:dyDescent="0.35">
      <c r="B78" s="161" t="s">
        <v>565</v>
      </c>
      <c r="C78" s="196" t="s">
        <v>566</v>
      </c>
      <c r="D78" s="177" t="s">
        <v>456</v>
      </c>
      <c r="E78" s="143" t="s">
        <v>473</v>
      </c>
      <c r="F78" s="143" t="s">
        <v>448</v>
      </c>
      <c r="G78" s="143" t="s">
        <v>448</v>
      </c>
      <c r="H78" s="133">
        <v>4.1666666666666664E-2</v>
      </c>
      <c r="I78" s="133">
        <v>4.1666666666666664E-2</v>
      </c>
      <c r="J78" s="182">
        <f t="shared" si="13"/>
        <v>0</v>
      </c>
      <c r="K78" s="178"/>
      <c r="L78" s="179">
        <v>45737</v>
      </c>
      <c r="M78" s="179">
        <v>45735</v>
      </c>
      <c r="N78" s="179"/>
      <c r="O78" s="117">
        <f t="shared" si="8"/>
        <v>-1</v>
      </c>
      <c r="P78" s="172">
        <f t="shared" si="14"/>
        <v>1</v>
      </c>
      <c r="Q78" s="173"/>
      <c r="R78" s="174"/>
      <c r="S78" s="174"/>
      <c r="T78" s="174"/>
      <c r="U78" s="174"/>
      <c r="V78" s="174"/>
      <c r="W78" s="174"/>
      <c r="X78" s="175"/>
      <c r="Y78" s="174"/>
      <c r="Z78" s="174"/>
      <c r="AA78" s="175"/>
      <c r="AB78" s="174"/>
      <c r="AC78" s="174"/>
      <c r="AD78" s="174"/>
      <c r="AE78" s="197"/>
      <c r="AF78" s="173"/>
      <c r="AG78" s="174"/>
      <c r="AH78" s="174"/>
      <c r="AI78" s="174"/>
      <c r="AJ78" s="174"/>
      <c r="AK78" s="173"/>
      <c r="AL78" s="174"/>
      <c r="AM78" s="174"/>
      <c r="AN78" s="174"/>
      <c r="AO78" s="174"/>
      <c r="AP78" s="174"/>
      <c r="AQ78" s="174"/>
      <c r="AR78" s="174"/>
      <c r="AS78" s="174"/>
      <c r="AT78" s="176"/>
      <c r="AU78" s="173"/>
      <c r="AV78" s="174"/>
      <c r="AW78" s="174"/>
      <c r="AX78" s="174"/>
      <c r="AY78" s="174"/>
      <c r="AZ78" s="174"/>
      <c r="BA78" s="174"/>
      <c r="BB78" s="174"/>
      <c r="BC78" s="174"/>
      <c r="BD78" s="174"/>
      <c r="BE78" s="174"/>
      <c r="BF78" s="174"/>
      <c r="BG78" s="174"/>
      <c r="BH78" s="174"/>
      <c r="BI78" s="176"/>
      <c r="BJ78" s="173"/>
      <c r="BK78" s="174"/>
      <c r="BL78" s="174"/>
      <c r="BM78" s="174"/>
      <c r="BN78" s="174"/>
      <c r="BO78" s="174"/>
      <c r="BP78" s="174"/>
      <c r="BQ78" s="174"/>
      <c r="BR78" s="174"/>
      <c r="BS78" s="174"/>
      <c r="BT78" s="174"/>
      <c r="BU78" s="174"/>
      <c r="BV78" s="174"/>
      <c r="BW78" s="174"/>
      <c r="BX78" s="176"/>
      <c r="BY78" s="68"/>
      <c r="BZ78" s="59"/>
    </row>
    <row r="79" spans="2:78" ht="16" x14ac:dyDescent="0.35">
      <c r="B79" s="161" t="s">
        <v>567</v>
      </c>
      <c r="C79" s="196" t="s">
        <v>568</v>
      </c>
      <c r="D79" s="177" t="s">
        <v>456</v>
      </c>
      <c r="E79" s="143" t="s">
        <v>473</v>
      </c>
      <c r="F79" s="143" t="s">
        <v>448</v>
      </c>
      <c r="G79" s="143" t="s">
        <v>448</v>
      </c>
      <c r="H79" s="133">
        <v>8.3333333333333329E-2</v>
      </c>
      <c r="I79" s="133">
        <v>8.3333333333333329E-2</v>
      </c>
      <c r="J79" s="182">
        <f t="shared" si="13"/>
        <v>0</v>
      </c>
      <c r="K79" s="178"/>
      <c r="L79" s="179">
        <v>45740</v>
      </c>
      <c r="M79" s="179">
        <v>45735</v>
      </c>
      <c r="N79" s="179"/>
      <c r="O79" s="198">
        <f t="shared" si="8"/>
        <v>-4</v>
      </c>
      <c r="P79" s="172">
        <f t="shared" si="14"/>
        <v>1</v>
      </c>
      <c r="Q79" s="173"/>
      <c r="R79" s="174"/>
      <c r="S79" s="174"/>
      <c r="T79" s="174"/>
      <c r="U79" s="174"/>
      <c r="V79" s="174"/>
      <c r="W79" s="174"/>
      <c r="X79" s="175"/>
      <c r="Y79" s="174"/>
      <c r="Z79" s="174"/>
      <c r="AA79" s="175"/>
      <c r="AB79" s="174"/>
      <c r="AC79" s="174"/>
      <c r="AD79" s="174"/>
      <c r="AE79" s="176"/>
      <c r="AF79" s="199"/>
      <c r="AG79" s="174"/>
      <c r="AH79" s="174"/>
      <c r="AI79" s="174"/>
      <c r="AJ79" s="174"/>
      <c r="AK79" s="173"/>
      <c r="AL79" s="174"/>
      <c r="AM79" s="174"/>
      <c r="AN79" s="174"/>
      <c r="AO79" s="174"/>
      <c r="AP79" s="174"/>
      <c r="AQ79" s="174"/>
      <c r="AR79" s="174"/>
      <c r="AS79" s="174"/>
      <c r="AT79" s="176"/>
      <c r="AU79" s="173"/>
      <c r="AV79" s="174"/>
      <c r="AW79" s="174"/>
      <c r="AX79" s="174"/>
      <c r="AY79" s="174"/>
      <c r="AZ79" s="174"/>
      <c r="BA79" s="174"/>
      <c r="BB79" s="174"/>
      <c r="BC79" s="174"/>
      <c r="BD79" s="174"/>
      <c r="BE79" s="174"/>
      <c r="BF79" s="174"/>
      <c r="BG79" s="174"/>
      <c r="BH79" s="174"/>
      <c r="BI79" s="176"/>
      <c r="BJ79" s="173"/>
      <c r="BK79" s="174"/>
      <c r="BL79" s="174"/>
      <c r="BM79" s="174"/>
      <c r="BN79" s="174"/>
      <c r="BO79" s="174"/>
      <c r="BP79" s="174"/>
      <c r="BQ79" s="174"/>
      <c r="BR79" s="174"/>
      <c r="BS79" s="174"/>
      <c r="BT79" s="174"/>
      <c r="BU79" s="174"/>
      <c r="BV79" s="174"/>
      <c r="BW79" s="174"/>
      <c r="BX79" s="176"/>
      <c r="BY79" s="68"/>
      <c r="BZ79" s="59"/>
    </row>
    <row r="80" spans="2:78" ht="16" x14ac:dyDescent="0.35">
      <c r="B80" s="161" t="s">
        <v>569</v>
      </c>
      <c r="C80" s="196" t="s">
        <v>570</v>
      </c>
      <c r="D80" s="177" t="s">
        <v>456</v>
      </c>
      <c r="E80" s="143" t="s">
        <v>473</v>
      </c>
      <c r="F80" s="143" t="s">
        <v>448</v>
      </c>
      <c r="G80" s="143" t="s">
        <v>448</v>
      </c>
      <c r="H80" s="133">
        <v>4.1666666666666664E-2</v>
      </c>
      <c r="I80" s="133">
        <v>4.1666666666666664E-2</v>
      </c>
      <c r="J80" s="182">
        <f t="shared" si="13"/>
        <v>0</v>
      </c>
      <c r="K80" s="178"/>
      <c r="L80" s="179">
        <v>45740</v>
      </c>
      <c r="M80" s="179">
        <v>45735</v>
      </c>
      <c r="N80" s="179"/>
      <c r="O80" s="198">
        <f t="shared" si="8"/>
        <v>-4</v>
      </c>
      <c r="P80" s="172">
        <f t="shared" si="14"/>
        <v>1</v>
      </c>
      <c r="Q80" s="173"/>
      <c r="R80" s="174"/>
      <c r="S80" s="174"/>
      <c r="T80" s="174"/>
      <c r="U80" s="174"/>
      <c r="V80" s="174"/>
      <c r="W80" s="174"/>
      <c r="X80" s="175"/>
      <c r="Y80" s="174"/>
      <c r="Z80" s="174"/>
      <c r="AA80" s="175"/>
      <c r="AB80" s="174"/>
      <c r="AC80" s="174"/>
      <c r="AD80" s="174"/>
      <c r="AE80" s="176"/>
      <c r="AF80" s="199"/>
      <c r="AG80" s="174"/>
      <c r="AH80" s="174"/>
      <c r="AI80" s="174"/>
      <c r="AJ80" s="174"/>
      <c r="AK80" s="173"/>
      <c r="AL80" s="174"/>
      <c r="AM80" s="174"/>
      <c r="AN80" s="174"/>
      <c r="AO80" s="174"/>
      <c r="AP80" s="174"/>
      <c r="AQ80" s="174"/>
      <c r="AR80" s="174"/>
      <c r="AS80" s="174"/>
      <c r="AT80" s="176"/>
      <c r="AU80" s="173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6"/>
      <c r="BJ80" s="173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6"/>
      <c r="BY80" s="68"/>
      <c r="BZ80" s="59"/>
    </row>
    <row r="81" spans="2:78" ht="16" x14ac:dyDescent="0.35">
      <c r="B81" s="161" t="s">
        <v>571</v>
      </c>
      <c r="C81" s="196" t="s">
        <v>572</v>
      </c>
      <c r="D81" s="177" t="s">
        <v>456</v>
      </c>
      <c r="E81" s="143" t="s">
        <v>473</v>
      </c>
      <c r="F81" s="143" t="s">
        <v>448</v>
      </c>
      <c r="G81" s="143" t="s">
        <v>448</v>
      </c>
      <c r="H81" s="133">
        <v>6.25E-2</v>
      </c>
      <c r="I81" s="133">
        <v>6.25E-2</v>
      </c>
      <c r="J81" s="182">
        <f t="shared" si="13"/>
        <v>0</v>
      </c>
      <c r="K81" s="178"/>
      <c r="L81" s="179">
        <v>45740</v>
      </c>
      <c r="M81" s="179">
        <v>45735</v>
      </c>
      <c r="N81" s="179"/>
      <c r="O81" s="198">
        <f t="shared" si="8"/>
        <v>-4</v>
      </c>
      <c r="P81" s="172">
        <f t="shared" si="14"/>
        <v>1</v>
      </c>
      <c r="Q81" s="173"/>
      <c r="R81" s="174"/>
      <c r="S81" s="174"/>
      <c r="T81" s="174"/>
      <c r="U81" s="174"/>
      <c r="V81" s="174"/>
      <c r="W81" s="174"/>
      <c r="X81" s="175"/>
      <c r="Y81" s="174"/>
      <c r="Z81" s="174"/>
      <c r="AA81" s="175"/>
      <c r="AB81" s="174"/>
      <c r="AC81" s="174"/>
      <c r="AD81" s="174"/>
      <c r="AE81" s="176"/>
      <c r="AF81" s="199"/>
      <c r="AG81" s="174"/>
      <c r="AH81" s="174"/>
      <c r="AI81" s="174"/>
      <c r="AJ81" s="174"/>
      <c r="AK81" s="173"/>
      <c r="AL81" s="174"/>
      <c r="AM81" s="174"/>
      <c r="AN81" s="174"/>
      <c r="AO81" s="174"/>
      <c r="AP81" s="174"/>
      <c r="AQ81" s="174"/>
      <c r="AR81" s="174"/>
      <c r="AS81" s="174"/>
      <c r="AT81" s="176"/>
      <c r="AU81" s="173"/>
      <c r="AV81" s="174"/>
      <c r="AW81" s="174"/>
      <c r="AX81" s="174"/>
      <c r="AY81" s="174"/>
      <c r="AZ81" s="174"/>
      <c r="BA81" s="174"/>
      <c r="BB81" s="174"/>
      <c r="BC81" s="174"/>
      <c r="BD81" s="174"/>
      <c r="BE81" s="174"/>
      <c r="BF81" s="174"/>
      <c r="BG81" s="174"/>
      <c r="BH81" s="174"/>
      <c r="BI81" s="176"/>
      <c r="BJ81" s="173"/>
      <c r="BK81" s="174"/>
      <c r="BL81" s="174"/>
      <c r="BM81" s="174"/>
      <c r="BN81" s="174"/>
      <c r="BO81" s="174"/>
      <c r="BP81" s="174"/>
      <c r="BQ81" s="174"/>
      <c r="BR81" s="174"/>
      <c r="BS81" s="174"/>
      <c r="BT81" s="174"/>
      <c r="BU81" s="174"/>
      <c r="BV81" s="174"/>
      <c r="BW81" s="174"/>
      <c r="BX81" s="176"/>
      <c r="BY81" s="68"/>
      <c r="BZ81" s="59"/>
    </row>
    <row r="82" spans="2:78" ht="16" x14ac:dyDescent="0.35">
      <c r="B82" s="161" t="s">
        <v>573</v>
      </c>
      <c r="C82" s="196" t="s">
        <v>574</v>
      </c>
      <c r="D82" s="177" t="s">
        <v>456</v>
      </c>
      <c r="E82" s="143" t="s">
        <v>473</v>
      </c>
      <c r="F82" s="143" t="s">
        <v>448</v>
      </c>
      <c r="G82" s="143" t="s">
        <v>448</v>
      </c>
      <c r="H82" s="133">
        <v>6.25E-2</v>
      </c>
      <c r="I82" s="133">
        <v>6.25E-2</v>
      </c>
      <c r="J82" s="182">
        <f t="shared" si="13"/>
        <v>0</v>
      </c>
      <c r="K82" s="178"/>
      <c r="L82" s="179">
        <v>45742</v>
      </c>
      <c r="M82" s="179">
        <v>45735</v>
      </c>
      <c r="N82" s="179"/>
      <c r="O82" s="198">
        <f t="shared" si="8"/>
        <v>-6</v>
      </c>
      <c r="P82" s="172">
        <f t="shared" si="14"/>
        <v>1</v>
      </c>
      <c r="Q82" s="173"/>
      <c r="R82" s="174"/>
      <c r="S82" s="174"/>
      <c r="T82" s="174"/>
      <c r="U82" s="174"/>
      <c r="V82" s="174"/>
      <c r="W82" s="174"/>
      <c r="X82" s="175"/>
      <c r="Y82" s="174"/>
      <c r="Z82" s="174"/>
      <c r="AA82" s="175"/>
      <c r="AB82" s="174"/>
      <c r="AC82" s="174"/>
      <c r="AD82" s="174"/>
      <c r="AE82" s="176"/>
      <c r="AF82" s="173"/>
      <c r="AG82" s="174"/>
      <c r="AH82" s="195"/>
      <c r="AI82" s="174"/>
      <c r="AJ82" s="174"/>
      <c r="AK82" s="173"/>
      <c r="AL82" s="174"/>
      <c r="AM82" s="174"/>
      <c r="AN82" s="174"/>
      <c r="AO82" s="174"/>
      <c r="AP82" s="174"/>
      <c r="AQ82" s="174"/>
      <c r="AR82" s="174"/>
      <c r="AS82" s="174"/>
      <c r="AT82" s="176"/>
      <c r="AU82" s="173"/>
      <c r="AV82" s="174"/>
      <c r="AW82" s="174"/>
      <c r="AX82" s="174"/>
      <c r="AY82" s="174"/>
      <c r="AZ82" s="174"/>
      <c r="BA82" s="174"/>
      <c r="BB82" s="174"/>
      <c r="BC82" s="174"/>
      <c r="BD82" s="174"/>
      <c r="BE82" s="174"/>
      <c r="BF82" s="174"/>
      <c r="BG82" s="174"/>
      <c r="BH82" s="174"/>
      <c r="BI82" s="176"/>
      <c r="BJ82" s="173"/>
      <c r="BK82" s="174"/>
      <c r="BL82" s="174"/>
      <c r="BM82" s="174"/>
      <c r="BN82" s="174"/>
      <c r="BO82" s="174"/>
      <c r="BP82" s="174"/>
      <c r="BQ82" s="174"/>
      <c r="BR82" s="174"/>
      <c r="BS82" s="174"/>
      <c r="BT82" s="174"/>
      <c r="BU82" s="174"/>
      <c r="BV82" s="174"/>
      <c r="BW82" s="174"/>
      <c r="BX82" s="176"/>
      <c r="BY82" s="68"/>
      <c r="BZ82" s="59"/>
    </row>
    <row r="83" spans="2:78" ht="16" x14ac:dyDescent="0.35">
      <c r="B83" s="161" t="s">
        <v>575</v>
      </c>
      <c r="C83" s="196" t="s">
        <v>576</v>
      </c>
      <c r="D83" s="177" t="s">
        <v>456</v>
      </c>
      <c r="E83" s="143" t="s">
        <v>473</v>
      </c>
      <c r="F83" s="143" t="s">
        <v>448</v>
      </c>
      <c r="G83" s="143" t="s">
        <v>448</v>
      </c>
      <c r="H83" s="133">
        <v>6.25E-2</v>
      </c>
      <c r="I83" s="133">
        <v>6.25E-2</v>
      </c>
      <c r="J83" s="182">
        <f t="shared" si="13"/>
        <v>0</v>
      </c>
      <c r="K83" s="178"/>
      <c r="L83" s="179">
        <v>45742</v>
      </c>
      <c r="M83" s="179">
        <v>45735</v>
      </c>
      <c r="N83" s="179"/>
      <c r="O83" s="198">
        <f t="shared" si="8"/>
        <v>-6</v>
      </c>
      <c r="P83" s="172">
        <f t="shared" si="14"/>
        <v>1</v>
      </c>
      <c r="Q83" s="173"/>
      <c r="R83" s="174"/>
      <c r="S83" s="174"/>
      <c r="T83" s="174"/>
      <c r="U83" s="174"/>
      <c r="V83" s="174"/>
      <c r="W83" s="174"/>
      <c r="X83" s="175"/>
      <c r="Y83" s="174"/>
      <c r="Z83" s="174"/>
      <c r="AA83" s="175"/>
      <c r="AB83" s="174"/>
      <c r="AC83" s="174"/>
      <c r="AD83" s="174"/>
      <c r="AE83" s="176"/>
      <c r="AF83" s="173"/>
      <c r="AG83" s="174"/>
      <c r="AH83" s="195"/>
      <c r="AI83" s="174"/>
      <c r="AJ83" s="174"/>
      <c r="AK83" s="173"/>
      <c r="AL83" s="174"/>
      <c r="AM83" s="174"/>
      <c r="AN83" s="174"/>
      <c r="AO83" s="174"/>
      <c r="AP83" s="174"/>
      <c r="AQ83" s="174"/>
      <c r="AR83" s="174"/>
      <c r="AS83" s="174"/>
      <c r="AT83" s="176"/>
      <c r="AU83" s="173"/>
      <c r="AV83" s="174"/>
      <c r="AW83" s="174"/>
      <c r="AX83" s="174"/>
      <c r="AY83" s="174"/>
      <c r="AZ83" s="174"/>
      <c r="BA83" s="174"/>
      <c r="BB83" s="174"/>
      <c r="BC83" s="174"/>
      <c r="BD83" s="174"/>
      <c r="BE83" s="174"/>
      <c r="BF83" s="174"/>
      <c r="BG83" s="174"/>
      <c r="BH83" s="174"/>
      <c r="BI83" s="176"/>
      <c r="BJ83" s="173"/>
      <c r="BK83" s="174"/>
      <c r="BL83" s="174"/>
      <c r="BM83" s="174"/>
      <c r="BN83" s="174"/>
      <c r="BO83" s="174"/>
      <c r="BP83" s="174"/>
      <c r="BQ83" s="174"/>
      <c r="BR83" s="174"/>
      <c r="BS83" s="174"/>
      <c r="BT83" s="174"/>
      <c r="BU83" s="174"/>
      <c r="BV83" s="174"/>
      <c r="BW83" s="174"/>
      <c r="BX83" s="176"/>
      <c r="BY83" s="68"/>
      <c r="BZ83" s="59"/>
    </row>
    <row r="84" spans="2:78" ht="16" x14ac:dyDescent="0.35">
      <c r="B84" s="161" t="s">
        <v>577</v>
      </c>
      <c r="C84" s="200" t="s">
        <v>578</v>
      </c>
      <c r="D84" s="201"/>
      <c r="E84" s="202"/>
      <c r="F84" s="202"/>
      <c r="G84" s="202"/>
      <c r="H84" s="203">
        <f>SUM(H85)</f>
        <v>0.10416666666666667</v>
      </c>
      <c r="I84" s="204">
        <f>SUM(I85)</f>
        <v>0</v>
      </c>
      <c r="J84" s="204">
        <f>SUM(J85)</f>
        <v>0.10416666666666667</v>
      </c>
      <c r="K84" s="205"/>
      <c r="L84" s="206"/>
      <c r="M84" s="207"/>
      <c r="N84" s="207"/>
      <c r="O84" s="208"/>
      <c r="P84" s="172"/>
      <c r="Q84" s="173"/>
      <c r="R84" s="174"/>
      <c r="S84" s="174"/>
      <c r="T84" s="174"/>
      <c r="U84" s="174"/>
      <c r="V84" s="174"/>
      <c r="W84" s="174"/>
      <c r="X84" s="175"/>
      <c r="Y84" s="174"/>
      <c r="Z84" s="174"/>
      <c r="AA84" s="175"/>
      <c r="AB84" s="174"/>
      <c r="AC84" s="174"/>
      <c r="AD84" s="174"/>
      <c r="AE84" s="176"/>
      <c r="AF84" s="173"/>
      <c r="AG84" s="174"/>
      <c r="AH84" s="174"/>
      <c r="AI84" s="174"/>
      <c r="AJ84" s="174"/>
      <c r="AK84" s="173"/>
      <c r="AL84" s="174"/>
      <c r="AM84" s="174"/>
      <c r="AN84" s="174"/>
      <c r="AO84" s="174"/>
      <c r="AP84" s="174"/>
      <c r="AQ84" s="174"/>
      <c r="AR84" s="174"/>
      <c r="AS84" s="174"/>
      <c r="AT84" s="176"/>
      <c r="AU84" s="173"/>
      <c r="AV84" s="174"/>
      <c r="AW84" s="174"/>
      <c r="AX84" s="174"/>
      <c r="AY84" s="174"/>
      <c r="AZ84" s="174"/>
      <c r="BA84" s="174"/>
      <c r="BB84" s="174"/>
      <c r="BC84" s="174"/>
      <c r="BD84" s="174"/>
      <c r="BE84" s="174"/>
      <c r="BF84" s="174"/>
      <c r="BG84" s="174"/>
      <c r="BH84" s="174"/>
      <c r="BI84" s="176"/>
      <c r="BJ84" s="173"/>
      <c r="BK84" s="174"/>
      <c r="BL84" s="174"/>
      <c r="BM84" s="174"/>
      <c r="BN84" s="174"/>
      <c r="BO84" s="174"/>
      <c r="BP84" s="174"/>
      <c r="BQ84" s="174"/>
      <c r="BR84" s="174"/>
      <c r="BS84" s="174"/>
      <c r="BT84" s="174"/>
      <c r="BU84" s="174"/>
      <c r="BV84" s="174"/>
      <c r="BW84" s="174"/>
      <c r="BX84" s="176"/>
      <c r="BY84" s="68"/>
      <c r="BZ84" s="59"/>
    </row>
    <row r="85" spans="2:78" ht="23.5" thickBot="1" x14ac:dyDescent="0.4">
      <c r="B85" s="161" t="s">
        <v>579</v>
      </c>
      <c r="C85" s="196" t="s">
        <v>580</v>
      </c>
      <c r="D85" s="177" t="s">
        <v>456</v>
      </c>
      <c r="E85" s="143" t="s">
        <v>473</v>
      </c>
      <c r="F85" s="143" t="s">
        <v>546</v>
      </c>
      <c r="G85" s="143"/>
      <c r="H85" s="133">
        <v>0.10416666666666667</v>
      </c>
      <c r="I85" s="180"/>
      <c r="J85" s="182">
        <f>H85-I85</f>
        <v>0.10416666666666667</v>
      </c>
      <c r="K85" s="178"/>
      <c r="L85" s="179">
        <v>45744</v>
      </c>
      <c r="M85" s="179">
        <v>45744</v>
      </c>
      <c r="N85" s="179">
        <f>+N73</f>
        <v>45778</v>
      </c>
      <c r="O85" s="198">
        <f t="shared" si="8"/>
        <v>1</v>
      </c>
      <c r="P85" s="172">
        <f>IFERROR(I85/H85,"")</f>
        <v>0</v>
      </c>
      <c r="Q85" s="173"/>
      <c r="R85" s="174"/>
      <c r="S85" s="174"/>
      <c r="T85" s="174"/>
      <c r="U85" s="174"/>
      <c r="V85" s="174"/>
      <c r="W85" s="174"/>
      <c r="X85" s="175"/>
      <c r="Y85" s="174"/>
      <c r="Z85" s="174"/>
      <c r="AA85" s="175"/>
      <c r="AB85" s="174"/>
      <c r="AC85" s="174"/>
      <c r="AD85" s="174"/>
      <c r="AE85" s="176"/>
      <c r="AF85" s="173"/>
      <c r="AG85" s="174"/>
      <c r="AH85" s="174"/>
      <c r="AI85" s="174"/>
      <c r="AJ85" s="208"/>
      <c r="AK85" s="173"/>
      <c r="AL85" s="174"/>
      <c r="AM85" s="174"/>
      <c r="AN85" s="174"/>
      <c r="AO85" s="175"/>
      <c r="AP85" s="174"/>
      <c r="AQ85" s="174"/>
      <c r="AR85" s="174"/>
      <c r="AS85" s="174"/>
      <c r="AT85" s="176"/>
      <c r="AU85" s="173"/>
      <c r="AV85" s="174"/>
      <c r="AW85" s="174"/>
      <c r="AX85" s="174"/>
      <c r="AY85" s="174"/>
      <c r="AZ85" s="174"/>
      <c r="BA85" s="174"/>
      <c r="BB85" s="174"/>
      <c r="BC85" s="174"/>
      <c r="BD85" s="174"/>
      <c r="BE85" s="174"/>
      <c r="BF85" s="174"/>
      <c r="BG85" s="174"/>
      <c r="BH85" s="174"/>
      <c r="BI85" s="176"/>
      <c r="BJ85" s="173"/>
      <c r="BK85" s="174"/>
      <c r="BL85" s="174"/>
      <c r="BM85" s="174"/>
      <c r="BN85" s="209"/>
      <c r="BO85" s="209"/>
      <c r="BP85" s="209"/>
      <c r="BQ85" s="209"/>
      <c r="BR85" s="209"/>
      <c r="BS85" s="209"/>
      <c r="BT85" s="209"/>
      <c r="BU85" s="174"/>
      <c r="BV85" s="174"/>
      <c r="BW85" s="174"/>
      <c r="BX85" s="176"/>
      <c r="BY85" s="68"/>
      <c r="BZ85" s="59"/>
    </row>
    <row r="86" spans="2:78" ht="16.5" thickBot="1" x14ac:dyDescent="0.4">
      <c r="B86" s="161" t="s">
        <v>581</v>
      </c>
      <c r="C86" s="210" t="s">
        <v>582</v>
      </c>
      <c r="D86" s="201"/>
      <c r="E86" s="202"/>
      <c r="F86" s="202"/>
      <c r="G86" s="202"/>
      <c r="H86" s="203">
        <f>SUM(H87:H95)</f>
        <v>5.041666666666667</v>
      </c>
      <c r="I86" s="203">
        <f>SUM(I87:I95)</f>
        <v>0</v>
      </c>
      <c r="J86" s="203">
        <f>SUM(J87:J95)</f>
        <v>5.041666666666667</v>
      </c>
      <c r="K86" s="205"/>
      <c r="L86" s="206"/>
      <c r="M86" s="207"/>
      <c r="N86" s="207"/>
      <c r="O86" s="208"/>
      <c r="P86" s="172"/>
      <c r="Q86" s="173"/>
      <c r="R86" s="174"/>
      <c r="S86" s="174"/>
      <c r="T86" s="174"/>
      <c r="U86" s="174"/>
      <c r="V86" s="174"/>
      <c r="W86" s="174"/>
      <c r="X86" s="175"/>
      <c r="Y86" s="174"/>
      <c r="Z86" s="174"/>
      <c r="AA86" s="175"/>
      <c r="AB86" s="174"/>
      <c r="AC86" s="174"/>
      <c r="AD86" s="174"/>
      <c r="AE86" s="176"/>
      <c r="AF86" s="173"/>
      <c r="AG86" s="174"/>
      <c r="AH86" s="174"/>
      <c r="AI86" s="174"/>
      <c r="AJ86" s="174"/>
      <c r="AK86" s="173"/>
      <c r="AL86" s="174"/>
      <c r="AM86" s="174"/>
      <c r="AN86" s="174"/>
      <c r="AO86" s="174"/>
      <c r="AP86" s="174"/>
      <c r="AQ86" s="174"/>
      <c r="AR86" s="174"/>
      <c r="AS86" s="174"/>
      <c r="AT86" s="176"/>
      <c r="AU86" s="173"/>
      <c r="AV86" s="174"/>
      <c r="AW86" s="174"/>
      <c r="AX86" s="174"/>
      <c r="AY86" s="174"/>
      <c r="AZ86" s="174"/>
      <c r="BA86" s="174"/>
      <c r="BB86" s="174"/>
      <c r="BC86" s="174"/>
      <c r="BD86" s="174"/>
      <c r="BE86" s="174"/>
      <c r="BF86" s="174"/>
      <c r="BG86" s="174"/>
      <c r="BH86" s="174"/>
      <c r="BI86" s="176"/>
      <c r="BJ86" s="173"/>
      <c r="BK86" s="174"/>
      <c r="BL86" s="174"/>
      <c r="BM86" s="174"/>
      <c r="BN86" s="209"/>
      <c r="BO86" s="209"/>
      <c r="BP86" s="209"/>
      <c r="BQ86" s="209"/>
      <c r="BR86" s="209"/>
      <c r="BS86" s="209"/>
      <c r="BT86" s="209"/>
      <c r="BU86" s="174"/>
      <c r="BV86" s="174"/>
      <c r="BW86" s="174"/>
      <c r="BX86" s="176"/>
      <c r="BY86" s="68"/>
      <c r="BZ86" s="59"/>
    </row>
    <row r="87" spans="2:78" ht="16.5" thickBot="1" x14ac:dyDescent="0.4">
      <c r="B87" s="161" t="s">
        <v>583</v>
      </c>
      <c r="C87" s="196" t="s">
        <v>584</v>
      </c>
      <c r="D87" s="177" t="s">
        <v>585</v>
      </c>
      <c r="E87" s="143" t="s">
        <v>473</v>
      </c>
      <c r="F87" s="143" t="s">
        <v>546</v>
      </c>
      <c r="G87" s="143"/>
      <c r="H87" s="133">
        <v>0.83333333333333337</v>
      </c>
      <c r="I87" s="180"/>
      <c r="J87" s="182">
        <f t="shared" ref="J87:J95" si="15">H87-I87</f>
        <v>0.83333333333333337</v>
      </c>
      <c r="K87" s="178"/>
      <c r="L87" s="179">
        <v>45735</v>
      </c>
      <c r="M87" s="211">
        <v>45744</v>
      </c>
      <c r="N87" s="211">
        <f>+N85</f>
        <v>45778</v>
      </c>
      <c r="O87" s="198">
        <f t="shared" si="8"/>
        <v>10</v>
      </c>
      <c r="P87" s="172">
        <f t="shared" ref="P87:P95" si="16">IFERROR(I87/H87,"")</f>
        <v>0</v>
      </c>
      <c r="Q87" s="173"/>
      <c r="R87" s="174"/>
      <c r="S87" s="174"/>
      <c r="T87" s="174"/>
      <c r="U87" s="174"/>
      <c r="V87" s="174"/>
      <c r="W87" s="174"/>
      <c r="X87" s="175"/>
      <c r="Y87" s="174"/>
      <c r="Z87" s="174"/>
      <c r="AA87" s="175"/>
      <c r="AB87" s="174"/>
      <c r="AC87" s="174"/>
      <c r="AD87" s="174"/>
      <c r="AE87" s="176"/>
      <c r="AF87" s="173"/>
      <c r="AG87" s="174"/>
      <c r="AH87" s="174"/>
      <c r="AI87" s="174"/>
      <c r="AJ87" s="212"/>
      <c r="AK87" s="173"/>
      <c r="AL87" s="174"/>
      <c r="AM87" s="174"/>
      <c r="AN87" s="174"/>
      <c r="AO87" s="174"/>
      <c r="AP87" s="174"/>
      <c r="AQ87" s="174"/>
      <c r="AR87" s="174"/>
      <c r="AS87" s="174"/>
      <c r="AT87" s="176"/>
      <c r="AU87" s="173"/>
      <c r="AV87" s="174"/>
      <c r="AW87" s="174"/>
      <c r="AX87" s="174"/>
      <c r="AY87" s="174"/>
      <c r="AZ87" s="174"/>
      <c r="BA87" s="174"/>
      <c r="BB87" s="174"/>
      <c r="BC87" s="174"/>
      <c r="BD87" s="174"/>
      <c r="BE87" s="174"/>
      <c r="BF87" s="174"/>
      <c r="BG87" s="174"/>
      <c r="BH87" s="174"/>
      <c r="BI87" s="176"/>
      <c r="BJ87" s="173"/>
      <c r="BK87" s="174"/>
      <c r="BL87" s="174"/>
      <c r="BM87" s="174"/>
      <c r="BN87" s="209"/>
      <c r="BO87" s="209"/>
      <c r="BP87" s="209"/>
      <c r="BQ87" s="209"/>
      <c r="BR87" s="209"/>
      <c r="BS87" s="209"/>
      <c r="BT87" s="209"/>
      <c r="BU87" s="174"/>
      <c r="BV87" s="174"/>
      <c r="BW87" s="174"/>
      <c r="BX87" s="176"/>
      <c r="BY87" s="68"/>
      <c r="BZ87" s="59"/>
    </row>
    <row r="88" spans="2:78" ht="16.5" thickBot="1" x14ac:dyDescent="0.4">
      <c r="B88" s="161" t="s">
        <v>586</v>
      </c>
      <c r="C88" s="196" t="s">
        <v>587</v>
      </c>
      <c r="D88" s="177" t="s">
        <v>456</v>
      </c>
      <c r="E88" s="143" t="s">
        <v>473</v>
      </c>
      <c r="F88" s="143" t="s">
        <v>546</v>
      </c>
      <c r="G88" s="143"/>
      <c r="H88" s="133">
        <v>2.0833333333333335</v>
      </c>
      <c r="I88" s="180"/>
      <c r="J88" s="182">
        <f t="shared" si="15"/>
        <v>2.0833333333333335</v>
      </c>
      <c r="K88" s="178"/>
      <c r="L88" s="179">
        <v>45748</v>
      </c>
      <c r="M88" s="211">
        <v>45771</v>
      </c>
      <c r="N88" s="211">
        <v>45782</v>
      </c>
      <c r="O88" s="198">
        <f t="shared" si="8"/>
        <v>24</v>
      </c>
      <c r="P88" s="172">
        <f t="shared" si="16"/>
        <v>0</v>
      </c>
      <c r="Q88" s="173"/>
      <c r="R88" s="174"/>
      <c r="S88" s="174"/>
      <c r="T88" s="174"/>
      <c r="U88" s="174"/>
      <c r="V88" s="174"/>
      <c r="W88" s="174"/>
      <c r="X88" s="175"/>
      <c r="Y88" s="174"/>
      <c r="Z88" s="174"/>
      <c r="AA88" s="175"/>
      <c r="AB88" s="174"/>
      <c r="AC88" s="174"/>
      <c r="AD88" s="174"/>
      <c r="AE88" s="176"/>
      <c r="AF88" s="173"/>
      <c r="AG88" s="174"/>
      <c r="AH88" s="174"/>
      <c r="AI88" s="174"/>
      <c r="AJ88" s="174"/>
      <c r="AK88" s="212"/>
      <c r="AL88" s="212"/>
      <c r="AM88" s="212"/>
      <c r="AN88" s="212"/>
      <c r="AO88" s="212"/>
      <c r="AP88" s="212"/>
      <c r="AQ88" s="212"/>
      <c r="AR88" s="212"/>
      <c r="AS88" s="212"/>
      <c r="AT88" s="212"/>
      <c r="AU88" s="213"/>
      <c r="AV88" s="212"/>
      <c r="AW88" s="212"/>
      <c r="AX88" s="212"/>
      <c r="AY88" s="212"/>
      <c r="AZ88" s="212"/>
      <c r="BA88" s="212"/>
      <c r="BB88" s="212"/>
      <c r="BC88" s="212"/>
      <c r="BD88" s="212"/>
      <c r="BE88" s="174"/>
      <c r="BF88" s="174"/>
      <c r="BG88" s="174"/>
      <c r="BH88" s="174"/>
      <c r="BI88" s="176"/>
      <c r="BJ88" s="173"/>
      <c r="BK88" s="174"/>
      <c r="BL88" s="174"/>
      <c r="BM88" s="174"/>
      <c r="BN88" s="209"/>
      <c r="BO88" s="209"/>
      <c r="BP88" s="209"/>
      <c r="BQ88" s="209"/>
      <c r="BR88" s="209"/>
      <c r="BS88" s="209"/>
      <c r="BT88" s="209"/>
      <c r="BU88" s="174"/>
      <c r="BV88" s="174"/>
      <c r="BW88" s="174"/>
      <c r="BX88" s="176"/>
      <c r="BY88" s="68"/>
      <c r="BZ88" s="59"/>
    </row>
    <row r="89" spans="2:78" ht="16.5" thickBot="1" x14ac:dyDescent="0.4">
      <c r="B89" s="161" t="s">
        <v>588</v>
      </c>
      <c r="C89" s="196" t="s">
        <v>589</v>
      </c>
      <c r="D89" s="177" t="s">
        <v>456</v>
      </c>
      <c r="E89" s="143" t="s">
        <v>473</v>
      </c>
      <c r="F89" s="143" t="s">
        <v>546</v>
      </c>
      <c r="G89" s="143"/>
      <c r="H89" s="133">
        <v>0.29166666666666669</v>
      </c>
      <c r="I89" s="180"/>
      <c r="J89" s="182">
        <f t="shared" si="15"/>
        <v>0.29166666666666669</v>
      </c>
      <c r="K89" s="178"/>
      <c r="L89" s="179">
        <v>45763</v>
      </c>
      <c r="M89" s="211">
        <v>45763</v>
      </c>
      <c r="N89" s="211">
        <f>+N90</f>
        <v>45792</v>
      </c>
      <c r="O89" s="198">
        <f t="shared" si="8"/>
        <v>1</v>
      </c>
      <c r="P89" s="172">
        <f t="shared" si="16"/>
        <v>0</v>
      </c>
      <c r="Q89" s="173"/>
      <c r="R89" s="174"/>
      <c r="S89" s="174"/>
      <c r="T89" s="174"/>
      <c r="U89" s="174"/>
      <c r="V89" s="174"/>
      <c r="W89" s="174"/>
      <c r="X89" s="175"/>
      <c r="Y89" s="174"/>
      <c r="Z89" s="174"/>
      <c r="AA89" s="175"/>
      <c r="AB89" s="174"/>
      <c r="AC89" s="174"/>
      <c r="AD89" s="174"/>
      <c r="AE89" s="176"/>
      <c r="AF89" s="173"/>
      <c r="AG89" s="174"/>
      <c r="AH89" s="174"/>
      <c r="AI89" s="174"/>
      <c r="AJ89" s="174"/>
      <c r="AT89" s="176"/>
      <c r="AU89" s="173"/>
      <c r="AV89" s="174"/>
      <c r="AW89" s="212"/>
      <c r="AX89" s="174"/>
      <c r="AY89" s="174"/>
      <c r="AZ89" s="174"/>
      <c r="BA89" s="174"/>
      <c r="BB89" s="174"/>
      <c r="BC89" s="174"/>
      <c r="BD89" s="174"/>
      <c r="BE89" s="174"/>
      <c r="BF89" s="174"/>
      <c r="BG89" s="174"/>
      <c r="BH89" s="174"/>
      <c r="BI89" s="176"/>
      <c r="BJ89" s="173"/>
      <c r="BK89" s="174"/>
      <c r="BL89" s="174"/>
      <c r="BM89" s="174"/>
      <c r="BN89" s="209"/>
      <c r="BO89" s="209"/>
      <c r="BP89" s="209"/>
      <c r="BQ89" s="209"/>
      <c r="BR89" s="209"/>
      <c r="BS89" s="209"/>
      <c r="BT89" s="209"/>
      <c r="BU89" s="174"/>
      <c r="BV89" s="174"/>
      <c r="BW89" s="174"/>
      <c r="BX89" s="176"/>
      <c r="BY89" s="68"/>
      <c r="BZ89" s="59"/>
    </row>
    <row r="90" spans="2:78" ht="16.5" thickBot="1" x14ac:dyDescent="0.4">
      <c r="B90" s="161" t="s">
        <v>590</v>
      </c>
      <c r="C90" s="196" t="s">
        <v>591</v>
      </c>
      <c r="D90" s="177" t="s">
        <v>456</v>
      </c>
      <c r="E90" s="143" t="s">
        <v>473</v>
      </c>
      <c r="F90" s="143" t="s">
        <v>546</v>
      </c>
      <c r="G90" s="143"/>
      <c r="H90" s="133">
        <v>0.83333333333333337</v>
      </c>
      <c r="I90" s="180"/>
      <c r="J90" s="182">
        <f t="shared" si="15"/>
        <v>0.83333333333333337</v>
      </c>
      <c r="K90" s="178"/>
      <c r="L90" s="179">
        <v>45771</v>
      </c>
      <c r="M90" s="214">
        <v>45771</v>
      </c>
      <c r="N90" s="211">
        <v>45792</v>
      </c>
      <c r="O90" s="215">
        <f t="shared" si="8"/>
        <v>1</v>
      </c>
      <c r="P90" s="172">
        <f t="shared" si="16"/>
        <v>0</v>
      </c>
      <c r="Q90" s="173"/>
      <c r="R90" s="174"/>
      <c r="S90" s="174"/>
      <c r="T90" s="174"/>
      <c r="U90" s="174"/>
      <c r="V90" s="174"/>
      <c r="W90" s="174"/>
      <c r="X90" s="175"/>
      <c r="Y90" s="174"/>
      <c r="Z90" s="174"/>
      <c r="AA90" s="175"/>
      <c r="AB90" s="174"/>
      <c r="AC90" s="174"/>
      <c r="AD90" s="174"/>
      <c r="AE90" s="176"/>
      <c r="AF90" s="173"/>
      <c r="AG90" s="174"/>
      <c r="AH90" s="174"/>
      <c r="AI90" s="174"/>
      <c r="AJ90" s="174"/>
      <c r="AK90" s="173"/>
      <c r="AL90" s="174"/>
      <c r="AM90" s="174"/>
      <c r="AN90" s="174"/>
      <c r="AO90" s="174"/>
      <c r="AP90" s="174"/>
      <c r="AQ90" s="174"/>
      <c r="AR90" s="174"/>
      <c r="AS90" s="174"/>
      <c r="AT90" s="176"/>
      <c r="AU90" s="173"/>
      <c r="AV90" s="174"/>
      <c r="AW90" s="174"/>
      <c r="AX90" s="174"/>
      <c r="AY90" s="174"/>
      <c r="AZ90" s="174"/>
      <c r="BA90" s="174"/>
      <c r="BB90" s="174"/>
      <c r="BC90" s="174"/>
      <c r="BD90" s="212"/>
      <c r="BE90" s="174"/>
      <c r="BF90" s="174"/>
      <c r="BG90" s="174"/>
      <c r="BH90" s="174"/>
      <c r="BI90" s="176"/>
      <c r="BJ90" s="173"/>
      <c r="BK90" s="174"/>
      <c r="BL90" s="174"/>
      <c r="BM90" s="174"/>
      <c r="BN90" s="209"/>
      <c r="BO90" s="209"/>
      <c r="BP90" s="209"/>
      <c r="BQ90" s="209"/>
      <c r="BR90" s="209"/>
      <c r="BS90" s="209"/>
      <c r="BT90" s="209"/>
      <c r="BU90" s="174"/>
      <c r="BV90" s="174"/>
      <c r="BW90" s="174"/>
      <c r="BX90" s="176"/>
      <c r="BY90" s="68"/>
      <c r="BZ90" s="59"/>
    </row>
    <row r="91" spans="2:78" ht="16.5" thickBot="1" x14ac:dyDescent="0.4">
      <c r="B91" s="161" t="s">
        <v>592</v>
      </c>
      <c r="C91" s="196" t="s">
        <v>593</v>
      </c>
      <c r="D91" s="177" t="s">
        <v>456</v>
      </c>
      <c r="E91" s="143" t="s">
        <v>473</v>
      </c>
      <c r="F91" s="143" t="s">
        <v>546</v>
      </c>
      <c r="G91" s="143"/>
      <c r="H91" s="133">
        <v>0.29166666666666669</v>
      </c>
      <c r="I91" s="180"/>
      <c r="J91" s="182">
        <f t="shared" si="15"/>
        <v>0.29166666666666669</v>
      </c>
      <c r="K91" s="178"/>
      <c r="L91" s="179">
        <v>45772</v>
      </c>
      <c r="M91" s="214">
        <v>45772</v>
      </c>
      <c r="N91" s="211">
        <v>45833</v>
      </c>
      <c r="O91" s="215">
        <f t="shared" si="8"/>
        <v>1</v>
      </c>
      <c r="P91" s="216">
        <f t="shared" si="16"/>
        <v>0</v>
      </c>
      <c r="Q91" s="217"/>
      <c r="R91" s="209"/>
      <c r="S91" s="209"/>
      <c r="T91" s="209"/>
      <c r="U91" s="209"/>
      <c r="V91" s="209"/>
      <c r="W91" s="209"/>
      <c r="X91" s="209"/>
      <c r="Y91" s="209"/>
      <c r="Z91" s="209"/>
      <c r="AA91" s="209"/>
      <c r="AB91" s="209"/>
      <c r="AC91" s="209"/>
      <c r="AD91" s="209"/>
      <c r="AE91" s="218"/>
      <c r="AF91" s="217"/>
      <c r="AG91" s="209"/>
      <c r="AH91" s="209"/>
      <c r="AI91" s="209"/>
      <c r="AJ91" s="209"/>
      <c r="AK91" s="217"/>
      <c r="AL91" s="209"/>
      <c r="AM91" s="209"/>
      <c r="AN91" s="209"/>
      <c r="AO91" s="209"/>
      <c r="AP91" s="209"/>
      <c r="AQ91" s="209"/>
      <c r="AR91" s="209"/>
      <c r="AS91" s="209"/>
      <c r="AT91" s="218"/>
      <c r="AU91" s="217"/>
      <c r="AV91" s="209"/>
      <c r="AW91" s="209"/>
      <c r="AX91" s="209"/>
      <c r="AY91" s="209"/>
      <c r="AZ91" s="209"/>
      <c r="BA91" s="209"/>
      <c r="BB91" s="209"/>
      <c r="BC91" s="209"/>
      <c r="BD91" s="209"/>
      <c r="BE91" s="219"/>
      <c r="BF91" s="209"/>
      <c r="BG91" s="209"/>
      <c r="BH91" s="209"/>
      <c r="BI91" s="218"/>
      <c r="BJ91" s="217"/>
      <c r="BK91" s="209"/>
      <c r="BL91" s="209"/>
      <c r="BM91" s="209"/>
      <c r="BN91" s="209"/>
      <c r="BO91" s="209"/>
      <c r="BP91" s="209"/>
      <c r="BQ91" s="209"/>
      <c r="BR91" s="209"/>
      <c r="BS91" s="209"/>
      <c r="BT91" s="209"/>
      <c r="BU91" s="209"/>
      <c r="BV91" s="209"/>
      <c r="BW91" s="209"/>
      <c r="BX91" s="218"/>
      <c r="BY91" s="68"/>
      <c r="BZ91" s="59"/>
    </row>
    <row r="92" spans="2:78" ht="16.5" thickBot="1" x14ac:dyDescent="0.4">
      <c r="B92" s="161" t="s">
        <v>594</v>
      </c>
      <c r="C92" s="196" t="s">
        <v>595</v>
      </c>
      <c r="D92" s="177" t="s">
        <v>456</v>
      </c>
      <c r="E92" s="143" t="s">
        <v>473</v>
      </c>
      <c r="F92" s="143" t="s">
        <v>546</v>
      </c>
      <c r="G92" s="143"/>
      <c r="H92" s="133">
        <v>0.125</v>
      </c>
      <c r="I92" s="180"/>
      <c r="J92" s="182">
        <f t="shared" si="15"/>
        <v>0.125</v>
      </c>
      <c r="K92" s="178"/>
      <c r="L92" s="179">
        <v>45775</v>
      </c>
      <c r="M92" s="214">
        <v>45775</v>
      </c>
      <c r="N92" s="211">
        <f>+N93</f>
        <v>45803</v>
      </c>
      <c r="O92" s="215">
        <f t="shared" si="8"/>
        <v>1</v>
      </c>
      <c r="P92" s="216">
        <f t="shared" si="16"/>
        <v>0</v>
      </c>
      <c r="Q92" s="217"/>
      <c r="R92" s="209"/>
      <c r="S92" s="209"/>
      <c r="T92" s="209"/>
      <c r="U92" s="209"/>
      <c r="V92" s="209"/>
      <c r="W92" s="209"/>
      <c r="X92" s="209"/>
      <c r="Y92" s="209"/>
      <c r="Z92" s="209"/>
      <c r="AA92" s="209"/>
      <c r="AB92" s="209"/>
      <c r="AC92" s="209"/>
      <c r="AD92" s="209"/>
      <c r="AE92" s="218"/>
      <c r="AF92" s="217"/>
      <c r="AG92" s="209"/>
      <c r="AH92" s="209"/>
      <c r="AI92" s="209"/>
      <c r="AJ92" s="209"/>
      <c r="AK92" s="217"/>
      <c r="AL92" s="209"/>
      <c r="AM92" s="209"/>
      <c r="AN92" s="209"/>
      <c r="AO92" s="209"/>
      <c r="AP92" s="209"/>
      <c r="AQ92" s="209"/>
      <c r="AR92" s="209"/>
      <c r="AS92" s="209"/>
      <c r="AT92" s="218"/>
      <c r="AU92" s="217"/>
      <c r="AV92" s="209"/>
      <c r="AW92" s="209"/>
      <c r="AX92" s="209"/>
      <c r="AY92" s="209"/>
      <c r="AZ92" s="209"/>
      <c r="BA92" s="209"/>
      <c r="BB92" s="209"/>
      <c r="BC92" s="209"/>
      <c r="BD92" s="209"/>
      <c r="BE92" s="209"/>
      <c r="BF92" s="219"/>
      <c r="BG92" s="209"/>
      <c r="BH92" s="209"/>
      <c r="BI92" s="218"/>
      <c r="BJ92" s="217"/>
      <c r="BK92" s="209"/>
      <c r="BL92" s="209"/>
      <c r="BM92" s="209"/>
      <c r="BN92" s="209"/>
      <c r="BO92" s="209"/>
      <c r="BP92" s="209"/>
      <c r="BQ92" s="209"/>
      <c r="BR92" s="209"/>
      <c r="BS92" s="209"/>
      <c r="BT92" s="209"/>
      <c r="BU92" s="209"/>
      <c r="BV92" s="209"/>
      <c r="BW92" s="209"/>
      <c r="BX92" s="218"/>
      <c r="BY92" s="68"/>
      <c r="BZ92" s="59"/>
    </row>
    <row r="93" spans="2:78" ht="16.5" thickBot="1" x14ac:dyDescent="0.4">
      <c r="B93" s="161" t="s">
        <v>596</v>
      </c>
      <c r="C93" s="196" t="s">
        <v>597</v>
      </c>
      <c r="D93" s="177" t="s">
        <v>456</v>
      </c>
      <c r="E93" s="143" t="s">
        <v>473</v>
      </c>
      <c r="F93" s="143" t="s">
        <v>546</v>
      </c>
      <c r="G93" s="143"/>
      <c r="H93" s="133">
        <v>0.25</v>
      </c>
      <c r="I93" s="180"/>
      <c r="J93" s="182">
        <f t="shared" si="15"/>
        <v>0.25</v>
      </c>
      <c r="K93" s="178"/>
      <c r="L93" s="179">
        <v>45777</v>
      </c>
      <c r="M93" s="179">
        <v>45777</v>
      </c>
      <c r="N93" s="179">
        <v>45803</v>
      </c>
      <c r="O93" s="215">
        <f t="shared" si="8"/>
        <v>1</v>
      </c>
      <c r="P93" s="172">
        <f t="shared" si="16"/>
        <v>0</v>
      </c>
      <c r="Q93" s="217"/>
      <c r="R93" s="209"/>
      <c r="S93" s="209"/>
      <c r="T93" s="209"/>
      <c r="U93" s="209"/>
      <c r="V93" s="209"/>
      <c r="W93" s="209"/>
      <c r="X93" s="209"/>
      <c r="Y93" s="209"/>
      <c r="Z93" s="209"/>
      <c r="AA93" s="209"/>
      <c r="AB93" s="209"/>
      <c r="AC93" s="209"/>
      <c r="AD93" s="209"/>
      <c r="AE93" s="218"/>
      <c r="AF93" s="217"/>
      <c r="AG93" s="209"/>
      <c r="AH93" s="209"/>
      <c r="AI93" s="209"/>
      <c r="AJ93" s="209"/>
      <c r="AK93" s="217"/>
      <c r="AL93" s="209"/>
      <c r="AM93" s="209"/>
      <c r="AN93" s="209"/>
      <c r="AO93" s="209"/>
      <c r="AP93" s="209"/>
      <c r="AQ93" s="209"/>
      <c r="AR93" s="209"/>
      <c r="AS93" s="209"/>
      <c r="AT93" s="218"/>
      <c r="AU93" s="217"/>
      <c r="AV93" s="209"/>
      <c r="AW93" s="209"/>
      <c r="AX93" s="209"/>
      <c r="AY93" s="209"/>
      <c r="AZ93" s="209"/>
      <c r="BA93" s="209"/>
      <c r="BB93" s="209"/>
      <c r="BC93" s="209"/>
      <c r="BD93" s="209"/>
      <c r="BE93" s="209"/>
      <c r="BF93" s="209"/>
      <c r="BG93" s="209"/>
      <c r="BH93" s="219"/>
      <c r="BI93" s="218"/>
      <c r="BJ93" s="217"/>
      <c r="BK93" s="209"/>
      <c r="BL93" s="209"/>
      <c r="BM93" s="209"/>
      <c r="BN93" s="209"/>
      <c r="BO93" s="209"/>
      <c r="BP93" s="209"/>
      <c r="BQ93" s="209"/>
      <c r="BR93" s="209"/>
      <c r="BS93" s="209"/>
      <c r="BT93" s="209"/>
      <c r="BU93" s="220"/>
      <c r="BV93" s="220"/>
      <c r="BW93" s="209"/>
      <c r="BX93" s="218"/>
      <c r="BY93" s="68"/>
      <c r="BZ93" s="59"/>
    </row>
    <row r="94" spans="2:78" ht="16.5" thickBot="1" x14ac:dyDescent="0.4">
      <c r="B94" s="161" t="s">
        <v>598</v>
      </c>
      <c r="C94" s="196" t="s">
        <v>359</v>
      </c>
      <c r="D94" s="177" t="s">
        <v>456</v>
      </c>
      <c r="E94" s="143" t="s">
        <v>473</v>
      </c>
      <c r="F94" s="143" t="s">
        <v>546</v>
      </c>
      <c r="G94" s="143"/>
      <c r="H94" s="133">
        <v>0.25</v>
      </c>
      <c r="I94" s="180"/>
      <c r="J94" s="182">
        <f t="shared" si="15"/>
        <v>0.25</v>
      </c>
      <c r="K94" s="178"/>
      <c r="L94" s="179">
        <v>45778</v>
      </c>
      <c r="M94" s="214">
        <v>45808</v>
      </c>
      <c r="N94" s="211">
        <v>45809</v>
      </c>
      <c r="O94" s="215">
        <f t="shared" si="8"/>
        <v>31</v>
      </c>
      <c r="P94" s="216">
        <f t="shared" si="16"/>
        <v>0</v>
      </c>
      <c r="Q94" s="217"/>
      <c r="R94" s="209"/>
      <c r="S94" s="209"/>
      <c r="T94" s="209"/>
      <c r="U94" s="209"/>
      <c r="V94" s="209"/>
      <c r="W94" s="209"/>
      <c r="X94" s="209"/>
      <c r="Y94" s="209"/>
      <c r="Z94" s="209"/>
      <c r="AA94" s="209"/>
      <c r="AB94" s="209"/>
      <c r="AC94" s="209"/>
      <c r="AD94" s="209"/>
      <c r="AE94" s="218"/>
      <c r="AF94" s="217"/>
      <c r="AG94" s="209"/>
      <c r="AH94" s="209"/>
      <c r="AI94" s="209"/>
      <c r="AJ94" s="209"/>
      <c r="AK94" s="217"/>
      <c r="AL94" s="209"/>
      <c r="AM94" s="209"/>
      <c r="AN94" s="209"/>
      <c r="AO94" s="209"/>
      <c r="AP94" s="209"/>
      <c r="AQ94" s="209"/>
      <c r="AR94" s="209"/>
      <c r="AS94" s="209"/>
      <c r="AT94" s="218"/>
      <c r="AU94" s="217"/>
      <c r="AV94" s="209"/>
      <c r="AW94" s="209"/>
      <c r="AX94" s="209"/>
      <c r="AY94" s="209"/>
      <c r="AZ94" s="209"/>
      <c r="BA94" s="209"/>
      <c r="BB94" s="209"/>
      <c r="BC94" s="209"/>
      <c r="BD94" s="209"/>
      <c r="BE94" s="209"/>
      <c r="BF94" s="209"/>
      <c r="BG94" s="209"/>
      <c r="BH94" s="209"/>
      <c r="BI94" s="218"/>
      <c r="BJ94" s="221"/>
      <c r="BK94" s="219"/>
      <c r="BL94" s="219"/>
      <c r="BM94" s="219"/>
      <c r="BN94" s="219"/>
      <c r="BO94" s="219"/>
      <c r="BP94" s="219"/>
      <c r="BQ94" s="219"/>
      <c r="BR94" s="219"/>
      <c r="BS94" s="219"/>
      <c r="BT94" s="219"/>
      <c r="BU94" s="219"/>
      <c r="BV94" s="219"/>
      <c r="BW94" s="219"/>
      <c r="BX94" s="222"/>
      <c r="BY94" s="68"/>
      <c r="BZ94" s="59"/>
    </row>
    <row r="95" spans="2:78" ht="16.5" thickBot="1" x14ac:dyDescent="0.4">
      <c r="B95" s="223" t="s">
        <v>599</v>
      </c>
      <c r="C95" s="224" t="s">
        <v>600</v>
      </c>
      <c r="D95" s="225" t="s">
        <v>456</v>
      </c>
      <c r="E95" s="226" t="s">
        <v>473</v>
      </c>
      <c r="F95" s="226" t="s">
        <v>546</v>
      </c>
      <c r="G95" s="226"/>
      <c r="H95" s="227">
        <v>8.3333333333333329E-2</v>
      </c>
      <c r="I95" s="228"/>
      <c r="J95" s="229">
        <f t="shared" si="15"/>
        <v>8.3333333333333329E-2</v>
      </c>
      <c r="K95" s="230"/>
      <c r="L95" s="231">
        <v>45809</v>
      </c>
      <c r="M95" s="232">
        <v>45809</v>
      </c>
      <c r="N95" s="232">
        <v>45839</v>
      </c>
      <c r="O95" s="233">
        <f t="shared" si="8"/>
        <v>1</v>
      </c>
      <c r="P95" s="216">
        <f t="shared" si="16"/>
        <v>0</v>
      </c>
      <c r="Q95" s="217"/>
      <c r="R95" s="209"/>
      <c r="S95" s="209"/>
      <c r="T95" s="209"/>
      <c r="U95" s="209"/>
      <c r="V95" s="209"/>
      <c r="W95" s="209"/>
      <c r="X95" s="209"/>
      <c r="Y95" s="209"/>
      <c r="Z95" s="209"/>
      <c r="AA95" s="209"/>
      <c r="AB95" s="209"/>
      <c r="AC95" s="209"/>
      <c r="AD95" s="209"/>
      <c r="AE95" s="218"/>
      <c r="AF95" s="217"/>
      <c r="AG95" s="209"/>
      <c r="AH95" s="209"/>
      <c r="AI95" s="209"/>
      <c r="AJ95" s="209"/>
      <c r="AK95" s="217"/>
      <c r="AL95" s="209"/>
      <c r="AM95" s="209"/>
      <c r="AN95" s="209"/>
      <c r="AO95" s="209"/>
      <c r="AP95" s="209"/>
      <c r="AQ95" s="209"/>
      <c r="AR95" s="209"/>
      <c r="AS95" s="209"/>
      <c r="AT95" s="218"/>
      <c r="AU95" s="217"/>
      <c r="AV95" s="209"/>
      <c r="AW95" s="209"/>
      <c r="AX95" s="209"/>
      <c r="AY95" s="209"/>
      <c r="AZ95" s="209"/>
      <c r="BA95" s="209"/>
      <c r="BB95" s="209"/>
      <c r="BC95" s="209"/>
      <c r="BD95" s="209"/>
      <c r="BE95" s="209"/>
      <c r="BF95" s="209"/>
      <c r="BG95" s="209"/>
      <c r="BH95" s="209"/>
      <c r="BI95" s="218"/>
      <c r="BJ95" s="217"/>
      <c r="BK95" s="209"/>
      <c r="BL95" s="209"/>
      <c r="BM95" s="209"/>
      <c r="BN95" s="209"/>
      <c r="BO95" s="209"/>
      <c r="BP95" s="218"/>
      <c r="BQ95" s="209"/>
      <c r="BR95" s="209"/>
      <c r="BS95" s="209"/>
      <c r="BT95" s="218"/>
      <c r="BU95" s="209"/>
      <c r="BV95" s="209"/>
      <c r="BW95" s="209"/>
      <c r="BX95" s="218"/>
      <c r="BY95" s="68"/>
      <c r="BZ95" s="59"/>
    </row>
    <row r="96" spans="2:78" ht="16" x14ac:dyDescent="0.35">
      <c r="C96" s="234"/>
      <c r="D96" s="235"/>
      <c r="E96" s="143"/>
      <c r="F96" s="143"/>
      <c r="G96" s="143"/>
      <c r="K96" s="143"/>
      <c r="L96" s="236"/>
      <c r="Q96" s="220"/>
      <c r="R96" s="220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  <c r="AC96" s="220"/>
      <c r="AD96" s="220"/>
      <c r="AE96" s="220"/>
      <c r="AF96" s="220"/>
      <c r="AG96" s="220"/>
      <c r="AH96" s="220"/>
      <c r="AI96" s="220"/>
      <c r="AJ96" s="220"/>
      <c r="AK96" s="220"/>
      <c r="AL96" s="220"/>
      <c r="AM96" s="220"/>
      <c r="AN96" s="220"/>
      <c r="AO96" s="220"/>
      <c r="AP96" s="220"/>
      <c r="AQ96" s="220"/>
      <c r="AR96" s="220"/>
      <c r="AS96" s="220"/>
      <c r="AT96" s="220"/>
      <c r="AU96" s="220"/>
      <c r="AV96" s="220"/>
      <c r="AW96" s="220"/>
      <c r="AX96" s="220"/>
      <c r="AY96" s="220"/>
      <c r="AZ96" s="220"/>
      <c r="BA96" s="220"/>
      <c r="BB96" s="220"/>
      <c r="BC96" s="220"/>
      <c r="BD96" s="220"/>
      <c r="BE96" s="220"/>
      <c r="BF96" s="220"/>
      <c r="BG96" s="220"/>
      <c r="BH96" s="220"/>
      <c r="BI96" s="220"/>
      <c r="BJ96" s="220"/>
      <c r="BK96" s="220"/>
      <c r="BL96" s="220"/>
      <c r="BM96" s="220"/>
      <c r="BN96" s="220"/>
      <c r="BO96" s="220"/>
      <c r="BP96" s="220"/>
      <c r="BQ96" s="220"/>
      <c r="BR96" s="220"/>
      <c r="BS96" s="220"/>
      <c r="BT96" s="220"/>
      <c r="BU96" s="220"/>
      <c r="BV96" s="220"/>
      <c r="BW96" s="220"/>
      <c r="BX96" s="220"/>
      <c r="BY96" s="68"/>
      <c r="BZ96" s="59"/>
    </row>
    <row r="97" spans="2:78" ht="16" x14ac:dyDescent="0.35">
      <c r="E97"/>
      <c r="F97"/>
      <c r="G97"/>
      <c r="K97" s="143"/>
      <c r="L97" s="236"/>
      <c r="Q97" s="220"/>
      <c r="R97" s="220"/>
      <c r="S97" s="220"/>
      <c r="T97" s="220"/>
      <c r="U97" s="220"/>
      <c r="V97" s="220"/>
      <c r="W97" s="220"/>
      <c r="X97" s="220"/>
      <c r="Y97" s="220"/>
      <c r="Z97" s="220"/>
      <c r="AA97" s="220"/>
      <c r="AB97" s="220"/>
      <c r="AC97" s="220"/>
      <c r="AD97" s="220"/>
      <c r="AE97" s="220"/>
      <c r="AF97" s="220"/>
      <c r="AG97" s="220"/>
      <c r="AH97" s="220"/>
      <c r="AI97" s="220"/>
      <c r="AJ97" s="220"/>
      <c r="AK97" s="220"/>
      <c r="AL97" s="220"/>
      <c r="AM97" s="220"/>
      <c r="AN97" s="220"/>
      <c r="AO97" s="220"/>
      <c r="AP97" s="220"/>
      <c r="AQ97" s="220"/>
      <c r="AR97" s="220"/>
      <c r="AS97" s="220"/>
      <c r="AT97" s="220"/>
      <c r="AU97" s="220"/>
      <c r="AV97" s="220"/>
      <c r="AW97" s="220"/>
      <c r="AX97" s="220"/>
      <c r="AY97" s="220"/>
      <c r="AZ97" s="220"/>
      <c r="BA97" s="220"/>
      <c r="BB97" s="220"/>
      <c r="BC97" s="220"/>
      <c r="BD97" s="220"/>
      <c r="BE97" s="220"/>
      <c r="BF97" s="220"/>
      <c r="BG97" s="220"/>
      <c r="BH97" s="220"/>
      <c r="BI97" s="220"/>
      <c r="BJ97" s="220"/>
      <c r="BK97" s="220"/>
      <c r="BL97" s="220"/>
      <c r="BM97" s="220"/>
      <c r="BN97" s="220"/>
      <c r="BO97" s="220"/>
      <c r="BP97" s="220"/>
      <c r="BQ97" s="220"/>
      <c r="BR97" s="220"/>
      <c r="BS97" s="220"/>
      <c r="BT97" s="220"/>
      <c r="BU97" s="220"/>
      <c r="BV97" s="220"/>
      <c r="BW97" s="220"/>
      <c r="BX97" s="220"/>
      <c r="BY97" s="68"/>
      <c r="BZ97" s="59"/>
    </row>
    <row r="98" spans="2:78" ht="16" x14ac:dyDescent="0.35">
      <c r="E98"/>
      <c r="F98"/>
      <c r="G98"/>
      <c r="H98" t="s">
        <v>432</v>
      </c>
      <c r="I98" t="s">
        <v>433</v>
      </c>
      <c r="J98" t="s">
        <v>434</v>
      </c>
      <c r="K98" s="237" t="s">
        <v>601</v>
      </c>
      <c r="L98" s="237" t="s">
        <v>602</v>
      </c>
      <c r="M98" s="68"/>
      <c r="N98" s="68"/>
      <c r="BY98" s="60"/>
      <c r="BZ98"/>
    </row>
    <row r="99" spans="2:78" ht="19.5" x14ac:dyDescent="0.35">
      <c r="B99" s="68"/>
      <c r="C99" s="75" t="s">
        <v>603</v>
      </c>
      <c r="D99" s="238" t="s">
        <v>604</v>
      </c>
      <c r="E99" s="239"/>
      <c r="F99" s="239"/>
      <c r="G99" s="239"/>
      <c r="H99" s="240">
        <f>SUM(H71,H59,H52,H48,H43,H34,H17,H9,H74,H84,H86,H27)</f>
        <v>14.3125</v>
      </c>
      <c r="I99" s="240">
        <f>SUM(I71,I59,I52,I48,I43,I34,I17,I9,I74,I84,I86,I27)</f>
        <v>8.2291666666666661</v>
      </c>
      <c r="J99" s="240">
        <f>SUM(J71,J59,J52,J48,J43,J34,J17,J9,J74,J84,J86,J27)</f>
        <v>5.791666666666667</v>
      </c>
      <c r="K99" s="241">
        <v>60</v>
      </c>
      <c r="L99" s="242">
        <f>H99/K99</f>
        <v>0.23854166666666668</v>
      </c>
      <c r="M99" s="68"/>
      <c r="N99" s="68"/>
      <c r="BY99" s="60"/>
      <c r="BZ99"/>
    </row>
    <row r="100" spans="2:78" ht="16" x14ac:dyDescent="0.35">
      <c r="B100" s="68"/>
      <c r="C100" s="68"/>
      <c r="D100" s="68"/>
      <c r="E100" s="243"/>
      <c r="F100" s="243"/>
      <c r="G100" s="243"/>
      <c r="H100" s="68"/>
      <c r="I100" s="68"/>
      <c r="J100" s="68"/>
      <c r="K100" s="244"/>
      <c r="L100" s="68"/>
      <c r="M100" s="68"/>
      <c r="N100" s="68"/>
      <c r="BY100" s="60"/>
      <c r="BZ100"/>
    </row>
    <row r="101" spans="2:78" ht="16" x14ac:dyDescent="0.35">
      <c r="B101" s="68"/>
      <c r="C101" s="68"/>
      <c r="D101" s="68"/>
      <c r="E101" s="243"/>
      <c r="F101" s="243"/>
      <c r="G101" s="243"/>
      <c r="H101" s="68"/>
      <c r="I101" s="68"/>
      <c r="J101" s="68"/>
      <c r="K101" s="243"/>
      <c r="L101" s="68"/>
      <c r="M101" s="68"/>
      <c r="N101" s="68"/>
      <c r="BY101" s="60"/>
      <c r="BZ101"/>
    </row>
    <row r="102" spans="2:78" ht="16" x14ac:dyDescent="0.35">
      <c r="B102" s="68"/>
      <c r="C102" s="68"/>
      <c r="D102" s="68"/>
      <c r="E102" s="243"/>
      <c r="F102" s="243"/>
      <c r="G102" s="243"/>
      <c r="H102" s="68"/>
      <c r="I102" s="68"/>
      <c r="J102" s="68"/>
      <c r="K102" s="243"/>
      <c r="L102" s="68"/>
      <c r="M102" s="68"/>
      <c r="N102" s="68"/>
      <c r="BY102" s="60"/>
      <c r="BZ102"/>
    </row>
    <row r="103" spans="2:78" ht="16" x14ac:dyDescent="0.35">
      <c r="B103" s="68"/>
      <c r="C103" s="68"/>
      <c r="D103" s="68"/>
      <c r="E103" s="243"/>
      <c r="F103" s="243"/>
      <c r="G103" s="243"/>
      <c r="H103" s="68"/>
      <c r="I103" s="68"/>
      <c r="J103" s="68"/>
      <c r="K103" s="243"/>
      <c r="L103" s="68"/>
      <c r="M103" s="68"/>
      <c r="N103" s="68"/>
      <c r="BY103" s="60"/>
      <c r="BZ103"/>
    </row>
    <row r="104" spans="2:78" ht="19.5" x14ac:dyDescent="0.35">
      <c r="C104" s="75"/>
      <c r="BY104" s="60"/>
      <c r="BZ104"/>
    </row>
  </sheetData>
  <mergeCells count="31">
    <mergeCell ref="O2:O6"/>
    <mergeCell ref="B7:B8"/>
    <mergeCell ref="C7:C8"/>
    <mergeCell ref="D7:D8"/>
    <mergeCell ref="E7:E8"/>
    <mergeCell ref="F7:F8"/>
    <mergeCell ref="G7:G8"/>
    <mergeCell ref="H7:J7"/>
    <mergeCell ref="K7:K8"/>
    <mergeCell ref="L7:L8"/>
    <mergeCell ref="BO7:BS7"/>
    <mergeCell ref="BT7:BX7"/>
    <mergeCell ref="C9:F9"/>
    <mergeCell ref="C17:F17"/>
    <mergeCell ref="AA7:AE7"/>
    <mergeCell ref="AF7:AJ7"/>
    <mergeCell ref="AK7:AO7"/>
    <mergeCell ref="AP7:AT7"/>
    <mergeCell ref="AU7:AY7"/>
    <mergeCell ref="AZ7:BD7"/>
    <mergeCell ref="M7:M8"/>
    <mergeCell ref="N7:N8"/>
    <mergeCell ref="O7:O8"/>
    <mergeCell ref="P7:P8"/>
    <mergeCell ref="Q7:U7"/>
    <mergeCell ref="V7:Z7"/>
    <mergeCell ref="C27:F27"/>
    <mergeCell ref="C34:F34"/>
    <mergeCell ref="C43:F43"/>
    <mergeCell ref="BE7:BI7"/>
    <mergeCell ref="BJ7:BN7"/>
  </mergeCells>
  <conditionalFormatting sqref="P9:P97">
    <cfRule type="dataBar" priority="1">
      <dataBar>
        <cfvo type="percent" val="0"/>
        <cfvo type="percent" val="100"/>
        <color theme="8" tint="0.59999389629810485"/>
      </dataBar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1932-3944-B248-9701-8C2D25F78A18}">
  <dimension ref="B40:E49"/>
  <sheetViews>
    <sheetView showGridLines="0" topLeftCell="A16" zoomScale="120" zoomScaleNormal="120" workbookViewId="0">
      <selection activeCell="I33" sqref="I33"/>
    </sheetView>
  </sheetViews>
  <sheetFormatPr baseColWidth="10" defaultRowHeight="14.5" x14ac:dyDescent="0.35"/>
  <sheetData>
    <row r="40" spans="2:5" x14ac:dyDescent="0.35">
      <c r="B40">
        <v>15</v>
      </c>
    </row>
    <row r="48" spans="2:5" x14ac:dyDescent="0.35">
      <c r="E48">
        <v>20</v>
      </c>
    </row>
    <row r="49" spans="5:5" x14ac:dyDescent="0.35">
      <c r="E49" t="s">
        <v>399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8341C-ED13-E74D-BFA9-7B46FC966246}">
  <sheetPr>
    <tabColor rgb="FF002060"/>
    <pageSetUpPr fitToPage="1"/>
  </sheetPr>
  <dimension ref="A1:AQ1048547"/>
  <sheetViews>
    <sheetView tabSelected="1" zoomScale="110" zoomScaleNormal="11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E14" sqref="E14"/>
    </sheetView>
  </sheetViews>
  <sheetFormatPr baseColWidth="10" defaultColWidth="10.81640625" defaultRowHeight="13" x14ac:dyDescent="0.25"/>
  <cols>
    <col min="1" max="1" width="1" style="256" customWidth="1"/>
    <col min="2" max="2" width="3.36328125" style="257" bestFit="1" customWidth="1"/>
    <col min="3" max="3" width="6.1796875" style="257" customWidth="1"/>
    <col min="4" max="4" width="10.81640625" style="257" hidden="1" customWidth="1"/>
    <col min="5" max="5" width="28.36328125" style="258" customWidth="1"/>
    <col min="6" max="6" width="8.1796875" style="257" customWidth="1"/>
    <col min="7" max="7" width="9.36328125" style="257" customWidth="1"/>
    <col min="8" max="8" width="13" style="257" customWidth="1"/>
    <col min="9" max="9" width="14.90625" style="257" customWidth="1"/>
    <col min="10" max="10" width="11.81640625" style="257" bestFit="1" customWidth="1"/>
    <col min="11" max="11" width="5.6328125" style="259" customWidth="1"/>
    <col min="12" max="12" width="18.81640625" style="260" customWidth="1"/>
    <col min="13" max="24" width="6.453125" style="281" customWidth="1"/>
    <col min="25" max="43" width="5.81640625" style="256" customWidth="1"/>
    <col min="44" max="16384" width="10.81640625" style="256"/>
  </cols>
  <sheetData>
    <row r="1" spans="1:43" s="1" customFormat="1" ht="14" x14ac:dyDescent="0.3">
      <c r="A1" s="254"/>
      <c r="C1" s="19"/>
      <c r="D1" s="19"/>
      <c r="F1" s="19"/>
      <c r="K1" s="255"/>
    </row>
    <row r="2" spans="1:43" s="1" customFormat="1" ht="22" customHeight="1" x14ac:dyDescent="0.3">
      <c r="A2" s="254"/>
      <c r="B2" s="301" t="s">
        <v>712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1"/>
      <c r="AK2" s="301"/>
      <c r="AL2" s="301"/>
      <c r="AM2" s="301"/>
      <c r="AN2" s="301"/>
      <c r="AO2" s="301"/>
      <c r="AP2" s="301"/>
      <c r="AQ2" s="301"/>
    </row>
    <row r="3" spans="1:43" s="1" customFormat="1" ht="15" customHeight="1" x14ac:dyDescent="0.3">
      <c r="A3" s="254"/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</row>
    <row r="4" spans="1:43" s="1" customFormat="1" ht="15" customHeight="1" x14ac:dyDescent="0.3">
      <c r="A4" s="254"/>
      <c r="B4" s="302"/>
      <c r="C4" s="302"/>
      <c r="D4" s="302"/>
      <c r="E4" s="302"/>
      <c r="F4" s="302"/>
      <c r="G4" s="302"/>
      <c r="H4" s="302"/>
      <c r="I4" s="302"/>
      <c r="J4" s="302"/>
      <c r="K4" s="302"/>
      <c r="L4" s="302"/>
      <c r="M4" s="302"/>
      <c r="N4" s="302"/>
      <c r="O4" s="302"/>
      <c r="P4" s="302"/>
      <c r="Q4" s="302"/>
      <c r="R4" s="302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  <c r="AD4" s="302"/>
      <c r="AE4" s="302"/>
      <c r="AF4" s="302"/>
      <c r="AG4" s="302"/>
      <c r="AH4" s="302"/>
      <c r="AI4" s="302"/>
      <c r="AJ4" s="302"/>
      <c r="AK4" s="302"/>
      <c r="AL4" s="302"/>
      <c r="AM4" s="302"/>
      <c r="AN4" s="302"/>
      <c r="AO4" s="302"/>
      <c r="AP4" s="302"/>
      <c r="AQ4" s="302"/>
    </row>
    <row r="5" spans="1:43" s="1" customFormat="1" ht="15" customHeight="1" x14ac:dyDescent="0.3">
      <c r="A5" s="254"/>
      <c r="B5" s="302"/>
      <c r="C5" s="302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302"/>
      <c r="O5" s="302"/>
      <c r="P5" s="302"/>
      <c r="Q5" s="302"/>
      <c r="R5" s="302"/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  <c r="AD5" s="302"/>
      <c r="AE5" s="302"/>
      <c r="AF5" s="302"/>
      <c r="AG5" s="302"/>
      <c r="AH5" s="302"/>
      <c r="AI5" s="302"/>
      <c r="AJ5" s="302"/>
      <c r="AK5" s="302"/>
      <c r="AL5" s="302"/>
      <c r="AM5" s="302"/>
      <c r="AN5" s="302"/>
      <c r="AO5" s="302"/>
      <c r="AP5" s="302"/>
      <c r="AQ5" s="302"/>
    </row>
    <row r="6" spans="1:43" s="1" customFormat="1" ht="11" customHeight="1" x14ac:dyDescent="0.3">
      <c r="A6" s="254"/>
      <c r="B6" s="303"/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R6" s="303"/>
      <c r="S6" s="303"/>
      <c r="T6" s="303"/>
      <c r="U6" s="303"/>
      <c r="V6" s="303"/>
      <c r="W6" s="303"/>
      <c r="X6" s="303"/>
      <c r="Y6" s="303"/>
      <c r="Z6" s="303"/>
      <c r="AA6" s="303"/>
      <c r="AB6" s="303"/>
      <c r="AC6" s="303"/>
      <c r="AD6" s="303"/>
      <c r="AE6" s="303"/>
      <c r="AF6" s="303"/>
      <c r="AG6" s="303"/>
      <c r="AH6" s="303"/>
      <c r="AI6" s="303"/>
      <c r="AJ6" s="303"/>
      <c r="AK6" s="303"/>
      <c r="AL6" s="303"/>
      <c r="AM6" s="303"/>
      <c r="AN6" s="303"/>
      <c r="AO6" s="303"/>
      <c r="AP6" s="303"/>
      <c r="AQ6" s="303"/>
    </row>
    <row r="7" spans="1:43" s="1" customFormat="1" ht="11" customHeight="1" x14ac:dyDescent="0.3">
      <c r="A7" s="254"/>
      <c r="B7" s="19"/>
      <c r="C7" s="19"/>
      <c r="D7" s="19"/>
      <c r="E7" s="19"/>
      <c r="F7" s="19"/>
      <c r="K7" s="255"/>
    </row>
    <row r="9" spans="1:43" x14ac:dyDescent="0.3">
      <c r="M9" s="304" t="s">
        <v>713</v>
      </c>
      <c r="N9" s="304"/>
      <c r="O9" s="304"/>
      <c r="P9" s="304"/>
      <c r="Q9" s="304" t="s">
        <v>611</v>
      </c>
      <c r="R9" s="304"/>
      <c r="S9" s="304"/>
      <c r="T9" s="304"/>
      <c r="U9" s="304" t="s">
        <v>612</v>
      </c>
      <c r="V9" s="304"/>
      <c r="W9" s="304"/>
      <c r="X9" s="304"/>
      <c r="Y9" s="305" t="s">
        <v>613</v>
      </c>
      <c r="Z9" s="306"/>
      <c r="AA9" s="306"/>
      <c r="AB9" s="306"/>
      <c r="AC9" s="307"/>
      <c r="AD9" s="305" t="s">
        <v>688</v>
      </c>
      <c r="AE9" s="306"/>
      <c r="AF9" s="306"/>
      <c r="AG9" s="306"/>
      <c r="AH9" s="300" t="s">
        <v>697</v>
      </c>
      <c r="AI9" s="300"/>
      <c r="AJ9" s="300"/>
      <c r="AK9" s="300"/>
      <c r="AL9" s="300" t="s">
        <v>705</v>
      </c>
      <c r="AM9" s="300"/>
      <c r="AN9" s="300"/>
      <c r="AO9" s="300"/>
      <c r="AP9" s="296" t="s">
        <v>706</v>
      </c>
      <c r="AQ9" s="296"/>
    </row>
    <row r="10" spans="1:43" s="261" customFormat="1" ht="31" customHeight="1" x14ac:dyDescent="0.35">
      <c r="B10" s="262" t="s">
        <v>614</v>
      </c>
      <c r="C10" s="262" t="s">
        <v>615</v>
      </c>
      <c r="D10" s="262" t="s">
        <v>638</v>
      </c>
      <c r="E10" s="263" t="s">
        <v>616</v>
      </c>
      <c r="F10" s="264" t="s">
        <v>617</v>
      </c>
      <c r="G10" s="262" t="s">
        <v>44</v>
      </c>
      <c r="H10" s="262" t="s">
        <v>45</v>
      </c>
      <c r="I10" s="262" t="s">
        <v>46</v>
      </c>
      <c r="J10" s="262" t="s">
        <v>298</v>
      </c>
      <c r="K10" s="265" t="s">
        <v>618</v>
      </c>
      <c r="L10" s="266" t="s">
        <v>8</v>
      </c>
      <c r="M10" s="262" t="s">
        <v>714</v>
      </c>
      <c r="N10" s="262" t="s">
        <v>715</v>
      </c>
      <c r="O10" s="262" t="s">
        <v>716</v>
      </c>
      <c r="P10" s="262" t="s">
        <v>717</v>
      </c>
      <c r="Q10" s="262" t="s">
        <v>718</v>
      </c>
      <c r="R10" s="262" t="s">
        <v>619</v>
      </c>
      <c r="S10" s="262" t="s">
        <v>620</v>
      </c>
      <c r="T10" s="262" t="s">
        <v>621</v>
      </c>
      <c r="U10" s="262" t="s">
        <v>622</v>
      </c>
      <c r="V10" s="262" t="s">
        <v>623</v>
      </c>
      <c r="W10" s="262" t="s">
        <v>624</v>
      </c>
      <c r="X10" s="262" t="s">
        <v>625</v>
      </c>
      <c r="Y10" s="262" t="s">
        <v>626</v>
      </c>
      <c r="Z10" s="262" t="s">
        <v>627</v>
      </c>
      <c r="AA10" s="262" t="s">
        <v>628</v>
      </c>
      <c r="AB10" s="262" t="s">
        <v>629</v>
      </c>
      <c r="AC10" s="262" t="s">
        <v>630</v>
      </c>
      <c r="AD10" s="262" t="s">
        <v>677</v>
      </c>
      <c r="AE10" s="262" t="s">
        <v>678</v>
      </c>
      <c r="AF10" s="262" t="s">
        <v>679</v>
      </c>
      <c r="AG10" s="262" t="s">
        <v>680</v>
      </c>
      <c r="AH10" s="262" t="s">
        <v>681</v>
      </c>
      <c r="AI10" s="262" t="s">
        <v>694</v>
      </c>
      <c r="AJ10" s="262" t="s">
        <v>695</v>
      </c>
      <c r="AK10" s="262" t="s">
        <v>696</v>
      </c>
      <c r="AL10" s="262" t="s">
        <v>699</v>
      </c>
      <c r="AM10" s="262" t="s">
        <v>700</v>
      </c>
      <c r="AN10" s="262" t="s">
        <v>701</v>
      </c>
      <c r="AO10" s="262" t="s">
        <v>702</v>
      </c>
      <c r="AP10" s="262" t="s">
        <v>703</v>
      </c>
      <c r="AQ10" s="262" t="s">
        <v>704</v>
      </c>
    </row>
    <row r="11" spans="1:43" ht="31" customHeight="1" x14ac:dyDescent="0.3">
      <c r="B11" s="267">
        <v>1</v>
      </c>
      <c r="C11" s="267" t="s">
        <v>713</v>
      </c>
      <c r="D11" s="267" t="s">
        <v>631</v>
      </c>
      <c r="E11" s="268" t="s">
        <v>720</v>
      </c>
      <c r="F11" s="292">
        <f t="shared" ref="F11:F21" si="0">(_xlfn.DAYS(H11,G11))+1</f>
        <v>3</v>
      </c>
      <c r="G11" s="269">
        <v>46113</v>
      </c>
      <c r="H11" s="269">
        <v>46115</v>
      </c>
      <c r="I11" s="267" t="s">
        <v>301</v>
      </c>
      <c r="J11" s="267" t="s">
        <v>632</v>
      </c>
      <c r="K11" s="270">
        <v>0.1</v>
      </c>
      <c r="L11" s="271" t="s">
        <v>729</v>
      </c>
      <c r="M11" s="275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94"/>
      <c r="Z11" s="294"/>
      <c r="AA11" s="294"/>
      <c r="AB11" s="294"/>
      <c r="AC11" s="294"/>
      <c r="AD11" s="294"/>
      <c r="AE11" s="294"/>
      <c r="AF11" s="294"/>
      <c r="AG11" s="294"/>
      <c r="AH11" s="294"/>
      <c r="AI11" s="294"/>
      <c r="AJ11" s="294"/>
      <c r="AK11" s="294"/>
      <c r="AL11" s="294"/>
      <c r="AM11" s="294"/>
      <c r="AN11" s="294"/>
      <c r="AO11" s="294"/>
      <c r="AP11" s="294"/>
      <c r="AQ11" s="294"/>
    </row>
    <row r="12" spans="1:43" ht="31" customHeight="1" x14ac:dyDescent="0.3">
      <c r="B12" s="267">
        <v>2</v>
      </c>
      <c r="C12" s="267" t="s">
        <v>713</v>
      </c>
      <c r="D12" s="267" t="s">
        <v>633</v>
      </c>
      <c r="E12" s="268" t="s">
        <v>719</v>
      </c>
      <c r="F12" s="292">
        <f t="shared" si="0"/>
        <v>5</v>
      </c>
      <c r="G12" s="269">
        <v>46118</v>
      </c>
      <c r="H12" s="269">
        <v>46122</v>
      </c>
      <c r="I12" s="267" t="s">
        <v>301</v>
      </c>
      <c r="J12" s="267" t="s">
        <v>29</v>
      </c>
      <c r="K12" s="270">
        <v>0</v>
      </c>
      <c r="L12" s="271" t="s">
        <v>724</v>
      </c>
      <c r="M12" s="272"/>
      <c r="N12" s="275"/>
      <c r="O12" s="272"/>
      <c r="P12" s="272"/>
      <c r="Q12" s="272"/>
      <c r="R12" s="272"/>
      <c r="S12" s="272"/>
      <c r="T12" s="272"/>
      <c r="U12" s="272"/>
      <c r="V12" s="272"/>
      <c r="W12" s="272"/>
      <c r="X12" s="272"/>
      <c r="Y12" s="294"/>
      <c r="Z12" s="294"/>
      <c r="AA12" s="294"/>
      <c r="AB12" s="294"/>
      <c r="AC12" s="294"/>
      <c r="AD12" s="294"/>
      <c r="AE12" s="294"/>
      <c r="AF12" s="294"/>
      <c r="AG12" s="294"/>
      <c r="AH12" s="294"/>
      <c r="AI12" s="294"/>
      <c r="AJ12" s="294"/>
      <c r="AK12" s="294"/>
      <c r="AL12" s="294"/>
      <c r="AM12" s="294"/>
      <c r="AN12" s="294"/>
      <c r="AO12" s="294"/>
      <c r="AP12" s="294"/>
      <c r="AQ12" s="294"/>
    </row>
    <row r="13" spans="1:43" ht="31" customHeight="1" x14ac:dyDescent="0.3">
      <c r="B13" s="267">
        <v>3</v>
      </c>
      <c r="C13" s="267" t="s">
        <v>713</v>
      </c>
      <c r="D13" s="267" t="s">
        <v>631</v>
      </c>
      <c r="E13" s="268" t="s">
        <v>721</v>
      </c>
      <c r="F13" s="292">
        <f t="shared" si="0"/>
        <v>5</v>
      </c>
      <c r="G13" s="269">
        <v>46125</v>
      </c>
      <c r="H13" s="269">
        <v>46129</v>
      </c>
      <c r="I13" s="291" t="s">
        <v>722</v>
      </c>
      <c r="J13" s="267" t="s">
        <v>29</v>
      </c>
      <c r="K13" s="270">
        <v>0</v>
      </c>
      <c r="L13" s="271" t="s">
        <v>723</v>
      </c>
      <c r="M13" s="272"/>
      <c r="N13" s="272"/>
      <c r="O13" s="275"/>
      <c r="P13" s="272"/>
      <c r="Q13" s="272"/>
      <c r="R13" s="272"/>
      <c r="S13" s="272"/>
      <c r="T13" s="272"/>
      <c r="U13" s="272"/>
      <c r="V13" s="272"/>
      <c r="W13" s="272"/>
      <c r="X13" s="272"/>
      <c r="Y13" s="294"/>
      <c r="Z13" s="294"/>
      <c r="AA13" s="294"/>
      <c r="AB13" s="294"/>
      <c r="AC13" s="294"/>
      <c r="AD13" s="294"/>
      <c r="AE13" s="294"/>
      <c r="AF13" s="294"/>
      <c r="AG13" s="294"/>
      <c r="AH13" s="294"/>
      <c r="AI13" s="294"/>
      <c r="AJ13" s="294"/>
      <c r="AK13" s="294"/>
      <c r="AL13" s="294"/>
      <c r="AM13" s="294"/>
      <c r="AN13" s="294"/>
      <c r="AO13" s="294"/>
      <c r="AP13" s="294"/>
      <c r="AQ13" s="294"/>
    </row>
    <row r="14" spans="1:43" ht="31" customHeight="1" x14ac:dyDescent="0.3">
      <c r="B14" s="267">
        <v>4</v>
      </c>
      <c r="C14" s="267" t="s">
        <v>713</v>
      </c>
      <c r="D14" s="267" t="s">
        <v>633</v>
      </c>
      <c r="E14" s="268" t="s">
        <v>725</v>
      </c>
      <c r="F14" s="292">
        <f t="shared" si="0"/>
        <v>5</v>
      </c>
      <c r="G14" s="269">
        <v>46132</v>
      </c>
      <c r="H14" s="269">
        <v>46136</v>
      </c>
      <c r="I14" s="291" t="s">
        <v>722</v>
      </c>
      <c r="J14" s="267" t="s">
        <v>29</v>
      </c>
      <c r="K14" s="270">
        <v>0</v>
      </c>
      <c r="L14" s="271" t="s">
        <v>726</v>
      </c>
      <c r="M14" s="272"/>
      <c r="N14" s="272"/>
      <c r="O14" s="272"/>
      <c r="P14" s="275"/>
      <c r="Q14" s="272"/>
      <c r="R14" s="272"/>
      <c r="S14" s="272"/>
      <c r="T14" s="272"/>
      <c r="U14" s="272"/>
      <c r="V14" s="272"/>
      <c r="W14" s="272"/>
      <c r="X14" s="272"/>
      <c r="Y14" s="294"/>
      <c r="Z14" s="294"/>
      <c r="AA14" s="294"/>
      <c r="AB14" s="294"/>
      <c r="AC14" s="294"/>
      <c r="AD14" s="294"/>
      <c r="AE14" s="294"/>
      <c r="AF14" s="294"/>
      <c r="AG14" s="294"/>
      <c r="AH14" s="294"/>
      <c r="AI14" s="294"/>
      <c r="AJ14" s="294"/>
      <c r="AK14" s="294"/>
      <c r="AL14" s="294"/>
      <c r="AM14" s="294"/>
      <c r="AN14" s="294"/>
      <c r="AO14" s="294"/>
      <c r="AP14" s="294"/>
      <c r="AQ14" s="294"/>
    </row>
    <row r="15" spans="1:43" ht="31" customHeight="1" x14ac:dyDescent="0.3">
      <c r="B15" s="267">
        <v>5</v>
      </c>
      <c r="C15" s="267" t="s">
        <v>611</v>
      </c>
      <c r="D15" s="267" t="s">
        <v>631</v>
      </c>
      <c r="E15" s="268" t="s">
        <v>727</v>
      </c>
      <c r="F15" s="292">
        <f t="shared" si="0"/>
        <v>4</v>
      </c>
      <c r="G15" s="269">
        <v>46139</v>
      </c>
      <c r="H15" s="269">
        <v>46142</v>
      </c>
      <c r="I15" s="291" t="s">
        <v>722</v>
      </c>
      <c r="J15" s="267" t="s">
        <v>29</v>
      </c>
      <c r="K15" s="270">
        <v>0</v>
      </c>
      <c r="L15" s="271" t="s">
        <v>728</v>
      </c>
      <c r="M15" s="272"/>
      <c r="N15" s="272"/>
      <c r="O15" s="272"/>
      <c r="P15" s="272"/>
      <c r="Q15" s="275"/>
      <c r="R15" s="272"/>
      <c r="S15" s="272"/>
      <c r="T15" s="272"/>
      <c r="U15" s="272"/>
      <c r="V15" s="272"/>
      <c r="W15" s="272"/>
      <c r="X15" s="272"/>
      <c r="Y15" s="294"/>
      <c r="Z15" s="294"/>
      <c r="AA15" s="294"/>
      <c r="AB15" s="294"/>
      <c r="AC15" s="294"/>
      <c r="AD15" s="294"/>
      <c r="AE15" s="294"/>
      <c r="AF15" s="294"/>
      <c r="AG15" s="294"/>
      <c r="AH15" s="294"/>
      <c r="AI15" s="294"/>
      <c r="AJ15" s="294"/>
      <c r="AK15" s="294"/>
      <c r="AL15" s="294"/>
      <c r="AM15" s="294"/>
      <c r="AN15" s="294"/>
      <c r="AO15" s="294"/>
      <c r="AP15" s="294"/>
      <c r="AQ15" s="294"/>
    </row>
    <row r="16" spans="1:43" ht="31" customHeight="1" x14ac:dyDescent="0.3">
      <c r="B16" s="267">
        <v>6</v>
      </c>
      <c r="C16" s="267" t="s">
        <v>611</v>
      </c>
      <c r="D16" s="267" t="s">
        <v>633</v>
      </c>
      <c r="E16" s="268" t="s">
        <v>731</v>
      </c>
      <c r="F16" s="292">
        <f t="shared" si="0"/>
        <v>5</v>
      </c>
      <c r="G16" s="269">
        <v>46146</v>
      </c>
      <c r="H16" s="269">
        <v>46150</v>
      </c>
      <c r="I16" s="291" t="s">
        <v>722</v>
      </c>
      <c r="J16" s="267" t="s">
        <v>29</v>
      </c>
      <c r="K16" s="270">
        <v>0</v>
      </c>
      <c r="L16" s="271" t="s">
        <v>730</v>
      </c>
      <c r="M16" s="272"/>
      <c r="N16" s="272"/>
      <c r="O16" s="272"/>
      <c r="P16" s="272"/>
      <c r="Q16" s="272"/>
      <c r="R16" s="275"/>
      <c r="S16" s="272"/>
      <c r="T16" s="272"/>
      <c r="U16" s="272"/>
      <c r="V16" s="272"/>
      <c r="W16" s="272"/>
      <c r="X16" s="272"/>
      <c r="Y16" s="294"/>
      <c r="Z16" s="294"/>
      <c r="AA16" s="294"/>
      <c r="AB16" s="294"/>
      <c r="AC16" s="294"/>
      <c r="AD16" s="294"/>
      <c r="AE16" s="294"/>
      <c r="AF16" s="294"/>
      <c r="AG16" s="294"/>
      <c r="AH16" s="294"/>
      <c r="AI16" s="294"/>
      <c r="AJ16" s="294"/>
      <c r="AK16" s="294"/>
      <c r="AL16" s="294"/>
      <c r="AM16" s="294"/>
      <c r="AN16" s="294"/>
      <c r="AO16" s="294"/>
      <c r="AP16" s="294"/>
      <c r="AQ16" s="294"/>
    </row>
    <row r="17" spans="1:43" ht="31" customHeight="1" x14ac:dyDescent="0.3">
      <c r="B17" s="267">
        <v>7</v>
      </c>
      <c r="C17" s="267" t="s">
        <v>611</v>
      </c>
      <c r="D17" s="267" t="s">
        <v>634</v>
      </c>
      <c r="E17" s="298" t="s">
        <v>732</v>
      </c>
      <c r="F17" s="292">
        <f t="shared" si="0"/>
        <v>5</v>
      </c>
      <c r="G17" s="269">
        <v>46153</v>
      </c>
      <c r="H17" s="269">
        <v>46157</v>
      </c>
      <c r="I17" s="291" t="s">
        <v>722</v>
      </c>
      <c r="J17" s="267" t="s">
        <v>29</v>
      </c>
      <c r="K17" s="270">
        <v>0</v>
      </c>
      <c r="L17" s="271" t="s">
        <v>733</v>
      </c>
      <c r="M17" s="276"/>
      <c r="N17" s="276"/>
      <c r="O17" s="272"/>
      <c r="P17" s="276"/>
      <c r="Q17" s="276"/>
      <c r="R17" s="272"/>
      <c r="S17" s="275"/>
      <c r="T17" s="272"/>
      <c r="U17" s="272"/>
      <c r="V17" s="272"/>
      <c r="W17" s="272"/>
      <c r="X17" s="272"/>
      <c r="Y17" s="294"/>
      <c r="Z17" s="294"/>
      <c r="AA17" s="294"/>
      <c r="AB17" s="294"/>
      <c r="AC17" s="294"/>
      <c r="AD17" s="294"/>
      <c r="AE17" s="294"/>
      <c r="AF17" s="294"/>
      <c r="AG17" s="294"/>
      <c r="AH17" s="294"/>
      <c r="AI17" s="294"/>
      <c r="AJ17" s="294"/>
      <c r="AK17" s="294"/>
      <c r="AL17" s="294"/>
      <c r="AM17" s="294"/>
      <c r="AN17" s="294"/>
      <c r="AO17" s="294"/>
      <c r="AP17" s="294"/>
      <c r="AQ17" s="294"/>
    </row>
    <row r="18" spans="1:43" ht="31" customHeight="1" x14ac:dyDescent="0.3">
      <c r="B18" s="267">
        <v>8</v>
      </c>
      <c r="C18" s="267" t="s">
        <v>611</v>
      </c>
      <c r="D18" s="267" t="s">
        <v>634</v>
      </c>
      <c r="E18" s="298" t="s">
        <v>734</v>
      </c>
      <c r="F18" s="292">
        <f t="shared" si="0"/>
        <v>1</v>
      </c>
      <c r="G18" s="269">
        <v>45800</v>
      </c>
      <c r="H18" s="269">
        <v>45800</v>
      </c>
      <c r="I18" s="291" t="s">
        <v>737</v>
      </c>
      <c r="J18" s="267" t="s">
        <v>29</v>
      </c>
      <c r="K18" s="270">
        <v>0</v>
      </c>
      <c r="L18" s="271"/>
      <c r="M18" s="276"/>
      <c r="N18" s="276"/>
      <c r="O18" s="272"/>
      <c r="P18" s="276"/>
      <c r="Q18" s="276"/>
      <c r="R18" s="276"/>
      <c r="S18" s="276"/>
      <c r="T18" s="275"/>
      <c r="U18" s="276"/>
      <c r="V18" s="276"/>
      <c r="W18" s="276"/>
      <c r="X18" s="276"/>
      <c r="Y18" s="294"/>
      <c r="Z18" s="294"/>
      <c r="AA18" s="294"/>
      <c r="AB18" s="294"/>
      <c r="AC18" s="294"/>
      <c r="AD18" s="294"/>
      <c r="AE18" s="294"/>
      <c r="AF18" s="294"/>
      <c r="AG18" s="294"/>
      <c r="AH18" s="294"/>
      <c r="AI18" s="294"/>
      <c r="AJ18" s="294"/>
      <c r="AK18" s="294"/>
      <c r="AL18" s="294"/>
      <c r="AM18" s="294"/>
      <c r="AN18" s="294"/>
      <c r="AO18" s="294"/>
      <c r="AP18" s="294"/>
      <c r="AQ18" s="294"/>
    </row>
    <row r="19" spans="1:43" ht="31" customHeight="1" x14ac:dyDescent="0.3">
      <c r="B19" s="267">
        <v>9</v>
      </c>
      <c r="C19" s="267" t="s">
        <v>612</v>
      </c>
      <c r="D19" s="267"/>
      <c r="E19" s="298" t="s">
        <v>735</v>
      </c>
      <c r="F19" s="292">
        <f t="shared" si="0"/>
        <v>1</v>
      </c>
      <c r="G19" s="269">
        <v>45800</v>
      </c>
      <c r="H19" s="269">
        <v>45800</v>
      </c>
      <c r="I19" s="291" t="s">
        <v>722</v>
      </c>
      <c r="J19" s="267" t="s">
        <v>29</v>
      </c>
      <c r="K19" s="270">
        <v>0</v>
      </c>
      <c r="L19" s="271"/>
      <c r="M19" s="276"/>
      <c r="N19" s="276"/>
      <c r="O19" s="272"/>
      <c r="P19" s="276"/>
      <c r="Q19" s="276"/>
      <c r="R19" s="276"/>
      <c r="S19" s="276"/>
      <c r="T19" s="276"/>
      <c r="U19" s="275"/>
      <c r="V19" s="276"/>
      <c r="W19" s="276"/>
      <c r="X19" s="276"/>
      <c r="Y19" s="294"/>
      <c r="Z19" s="294"/>
      <c r="AA19" s="294"/>
      <c r="AB19" s="294"/>
      <c r="AC19" s="294"/>
      <c r="AD19" s="294"/>
      <c r="AE19" s="294"/>
      <c r="AF19" s="294"/>
      <c r="AG19" s="294"/>
      <c r="AH19" s="294"/>
      <c r="AI19" s="294"/>
      <c r="AJ19" s="294"/>
      <c r="AK19" s="294"/>
      <c r="AL19" s="294"/>
      <c r="AM19" s="294"/>
      <c r="AN19" s="294"/>
      <c r="AO19" s="294"/>
      <c r="AP19" s="294"/>
      <c r="AQ19" s="294"/>
    </row>
    <row r="20" spans="1:43" ht="31" customHeight="1" x14ac:dyDescent="0.3">
      <c r="B20" s="267">
        <v>10</v>
      </c>
      <c r="C20" s="267" t="s">
        <v>612</v>
      </c>
      <c r="D20" s="267"/>
      <c r="E20" s="298" t="s">
        <v>736</v>
      </c>
      <c r="F20" s="292">
        <f t="shared" si="0"/>
        <v>1</v>
      </c>
      <c r="G20" s="269">
        <v>45800</v>
      </c>
      <c r="H20" s="269">
        <v>45800</v>
      </c>
      <c r="I20" s="291" t="s">
        <v>722</v>
      </c>
      <c r="J20" s="267" t="s">
        <v>29</v>
      </c>
      <c r="K20" s="270">
        <v>0</v>
      </c>
      <c r="L20" s="271"/>
      <c r="M20" s="276"/>
      <c r="N20" s="276"/>
      <c r="O20" s="272"/>
      <c r="P20" s="276"/>
      <c r="Q20" s="276"/>
      <c r="R20" s="276"/>
      <c r="S20" s="276"/>
      <c r="T20" s="276"/>
      <c r="U20" s="276"/>
      <c r="V20" s="275"/>
      <c r="W20" s="276"/>
      <c r="X20" s="276"/>
      <c r="Y20" s="294"/>
      <c r="Z20" s="294"/>
      <c r="AA20" s="294"/>
      <c r="AB20" s="294"/>
      <c r="AC20" s="294"/>
      <c r="AD20" s="294"/>
      <c r="AE20" s="294"/>
      <c r="AF20" s="294"/>
      <c r="AG20" s="294"/>
      <c r="AH20" s="294"/>
      <c r="AI20" s="294"/>
      <c r="AJ20" s="294"/>
      <c r="AK20" s="294"/>
      <c r="AL20" s="294"/>
      <c r="AM20" s="294"/>
      <c r="AN20" s="294"/>
      <c r="AO20" s="294"/>
      <c r="AP20" s="294"/>
      <c r="AQ20" s="294"/>
    </row>
    <row r="21" spans="1:43" ht="31" customHeight="1" x14ac:dyDescent="0.25">
      <c r="B21" s="267">
        <v>11</v>
      </c>
      <c r="C21" s="267" t="s">
        <v>612</v>
      </c>
      <c r="D21" s="267" t="s">
        <v>635</v>
      </c>
      <c r="E21" s="297" t="s">
        <v>390</v>
      </c>
      <c r="F21" s="292">
        <f t="shared" si="0"/>
        <v>3</v>
      </c>
      <c r="G21" s="269">
        <v>45803</v>
      </c>
      <c r="H21" s="269">
        <v>45805</v>
      </c>
      <c r="I21" s="291" t="s">
        <v>722</v>
      </c>
      <c r="J21" s="267" t="s">
        <v>29</v>
      </c>
      <c r="K21" s="270">
        <v>0</v>
      </c>
      <c r="L21" s="271"/>
      <c r="M21" s="276"/>
      <c r="N21" s="276"/>
      <c r="O21" s="276"/>
      <c r="P21" s="276"/>
      <c r="Q21" s="276"/>
      <c r="R21" s="276"/>
      <c r="S21" s="276"/>
      <c r="T21" s="276"/>
      <c r="U21" s="276"/>
      <c r="V21" s="276"/>
      <c r="W21" s="275"/>
      <c r="X21" s="275"/>
      <c r="Y21" s="294"/>
      <c r="Z21" s="294"/>
      <c r="AA21" s="294"/>
      <c r="AB21" s="294"/>
      <c r="AC21" s="294"/>
      <c r="AD21" s="294"/>
      <c r="AE21" s="294"/>
      <c r="AF21" s="294"/>
      <c r="AG21" s="294"/>
      <c r="AH21" s="294"/>
      <c r="AI21" s="294"/>
      <c r="AJ21" s="294"/>
      <c r="AK21" s="294"/>
      <c r="AL21" s="294"/>
      <c r="AM21" s="294"/>
      <c r="AN21" s="294"/>
      <c r="AO21" s="294"/>
      <c r="AP21" s="294"/>
      <c r="AQ21" s="294"/>
    </row>
    <row r="22" spans="1:43" s="257" customFormat="1" ht="14.5" x14ac:dyDescent="0.25">
      <c r="A22" s="256"/>
      <c r="E22" s="289"/>
      <c r="F22" s="290"/>
      <c r="G22" s="290"/>
      <c r="H22" s="290"/>
      <c r="I22" s="290"/>
      <c r="L22" s="260"/>
      <c r="M22" s="281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56"/>
      <c r="Z22" s="256"/>
      <c r="AA22" s="256"/>
      <c r="AB22" s="256"/>
    </row>
    <row r="23" spans="1:43" s="257" customFormat="1" ht="14.5" x14ac:dyDescent="0.25">
      <c r="A23" s="256"/>
      <c r="E23" s="289"/>
      <c r="F23" s="290"/>
      <c r="G23" s="290"/>
      <c r="H23" s="290"/>
      <c r="I23" s="290"/>
      <c r="L23" s="260"/>
      <c r="M23" s="281"/>
      <c r="N23" s="281"/>
      <c r="O23" s="281"/>
      <c r="P23" s="281"/>
      <c r="Q23" s="281"/>
      <c r="R23" s="281"/>
      <c r="S23" s="281"/>
      <c r="T23" s="281"/>
      <c r="U23" s="281"/>
      <c r="V23" s="281"/>
      <c r="W23" s="281"/>
      <c r="X23" s="281"/>
      <c r="Y23" s="256"/>
      <c r="Z23" s="256"/>
      <c r="AA23" s="256"/>
      <c r="AB23" s="256"/>
    </row>
    <row r="24" spans="1:43" s="257" customFormat="1" ht="14.5" x14ac:dyDescent="0.25">
      <c r="A24" s="256"/>
      <c r="E24" s="289"/>
      <c r="F24" s="290"/>
      <c r="G24" s="290"/>
      <c r="H24" s="290"/>
      <c r="I24" s="290"/>
      <c r="L24" s="260"/>
      <c r="M24" s="281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56"/>
      <c r="Z24" s="256"/>
      <c r="AA24" s="256"/>
      <c r="AB24" s="256"/>
    </row>
    <row r="25" spans="1:43" s="257" customFormat="1" ht="14.5" x14ac:dyDescent="0.25">
      <c r="A25" s="256"/>
      <c r="E25" s="289"/>
      <c r="F25" s="290"/>
      <c r="G25" s="290"/>
      <c r="H25" s="290"/>
      <c r="I25" s="290"/>
      <c r="L25" s="260"/>
      <c r="M25" s="281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56"/>
      <c r="Z25" s="256"/>
      <c r="AA25" s="256"/>
      <c r="AB25" s="256"/>
    </row>
    <row r="26" spans="1:43" s="257" customFormat="1" ht="14.5" x14ac:dyDescent="0.25">
      <c r="A26" s="256"/>
      <c r="E26" s="289"/>
      <c r="F26" s="290"/>
      <c r="G26" s="290"/>
      <c r="H26" s="290"/>
      <c r="I26" s="290"/>
      <c r="J26" s="279" t="s">
        <v>609</v>
      </c>
      <c r="K26" s="280">
        <f>AVERAGE(K11:K21)</f>
        <v>9.0909090909090922E-3</v>
      </c>
      <c r="L26" s="260"/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56"/>
      <c r="Z26" s="256"/>
      <c r="AA26" s="256"/>
      <c r="AB26" s="256"/>
    </row>
    <row r="27" spans="1:43" s="257" customFormat="1" ht="14.5" x14ac:dyDescent="0.25">
      <c r="A27" s="256"/>
      <c r="E27" s="289"/>
      <c r="F27" s="290"/>
      <c r="G27" s="290"/>
      <c r="H27" s="290"/>
      <c r="I27" s="290"/>
      <c r="J27" s="279" t="s">
        <v>610</v>
      </c>
      <c r="K27" s="282">
        <f>K28-K26</f>
        <v>0.99090909090909096</v>
      </c>
      <c r="L27" s="260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56"/>
      <c r="Z27" s="256"/>
      <c r="AA27" s="256"/>
      <c r="AB27" s="256"/>
    </row>
    <row r="28" spans="1:43" s="257" customFormat="1" ht="14.5" x14ac:dyDescent="0.3">
      <c r="A28" s="256"/>
      <c r="E28" s="289"/>
      <c r="F28" s="290"/>
      <c r="G28" s="290"/>
      <c r="H28" s="290"/>
      <c r="I28" s="290"/>
      <c r="J28" s="283" t="s">
        <v>637</v>
      </c>
      <c r="K28" s="284">
        <v>1</v>
      </c>
      <c r="L28" s="260"/>
      <c r="M28" s="281"/>
      <c r="N28" s="281"/>
      <c r="O28" s="281"/>
      <c r="P28" s="281"/>
      <c r="Q28" s="281"/>
      <c r="R28" s="281"/>
      <c r="S28" s="281"/>
      <c r="T28" s="281"/>
      <c r="U28" s="281"/>
      <c r="V28" s="281"/>
      <c r="W28" s="281"/>
      <c r="X28" s="281"/>
      <c r="Y28" s="256"/>
      <c r="Z28" s="256"/>
      <c r="AA28" s="256"/>
      <c r="AB28" s="256"/>
    </row>
    <row r="29" spans="1:43" s="257" customFormat="1" ht="14.5" x14ac:dyDescent="0.3">
      <c r="A29" s="256"/>
      <c r="E29" s="289"/>
      <c r="F29" s="290"/>
      <c r="G29" s="290"/>
      <c r="H29" s="290"/>
      <c r="I29" s="290"/>
      <c r="J29" s="256"/>
      <c r="K29" s="286"/>
      <c r="L29" s="260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Y29" s="256"/>
      <c r="Z29" s="256"/>
      <c r="AA29" s="256"/>
      <c r="AB29" s="256"/>
    </row>
    <row r="30" spans="1:43" x14ac:dyDescent="0.3">
      <c r="J30" s="256"/>
      <c r="K30" s="286"/>
    </row>
    <row r="31" spans="1:43" x14ac:dyDescent="0.3">
      <c r="J31" s="256"/>
      <c r="K31" s="286"/>
    </row>
    <row r="32" spans="1:43" x14ac:dyDescent="0.3">
      <c r="J32" s="256"/>
      <c r="K32" s="286"/>
    </row>
    <row r="33" spans="1:43" ht="12.5" x14ac:dyDescent="0.25">
      <c r="J33" s="285" t="s">
        <v>29</v>
      </c>
      <c r="K33" s="275"/>
    </row>
    <row r="34" spans="1:43" ht="12.5" x14ac:dyDescent="0.25">
      <c r="J34" s="287" t="s">
        <v>609</v>
      </c>
      <c r="K34" s="274"/>
    </row>
    <row r="35" spans="1:43" ht="12.5" x14ac:dyDescent="0.25">
      <c r="J35" s="285" t="s">
        <v>610</v>
      </c>
      <c r="K35" s="278"/>
    </row>
    <row r="36" spans="1:43" ht="12.5" x14ac:dyDescent="0.25">
      <c r="J36" s="285" t="s">
        <v>31</v>
      </c>
      <c r="K36" s="273"/>
    </row>
    <row r="37" spans="1:43" s="260" customFormat="1" ht="12.5" x14ac:dyDescent="0.25">
      <c r="A37" s="256"/>
      <c r="B37" s="257"/>
      <c r="C37" s="257"/>
      <c r="D37" s="257"/>
      <c r="E37" s="258"/>
      <c r="F37" s="257"/>
      <c r="G37" s="257"/>
      <c r="H37" s="257"/>
      <c r="I37" s="257"/>
      <c r="J37" s="285" t="s">
        <v>30</v>
      </c>
      <c r="K37" s="288"/>
      <c r="M37" s="281"/>
      <c r="N37" s="281"/>
      <c r="O37" s="281"/>
      <c r="P37" s="281"/>
      <c r="Q37" s="281"/>
      <c r="R37" s="281"/>
      <c r="S37" s="281"/>
      <c r="T37" s="281"/>
      <c r="U37" s="281"/>
      <c r="V37" s="281"/>
      <c r="W37" s="281"/>
      <c r="X37" s="281"/>
      <c r="Y37" s="256"/>
      <c r="Z37" s="256"/>
      <c r="AA37" s="256"/>
      <c r="AB37" s="256"/>
      <c r="AC37" s="256"/>
      <c r="AD37" s="256"/>
      <c r="AE37" s="256"/>
      <c r="AF37" s="256"/>
      <c r="AG37" s="256"/>
      <c r="AH37" s="256"/>
      <c r="AI37" s="256"/>
      <c r="AJ37" s="256"/>
      <c r="AK37" s="256"/>
      <c r="AL37" s="256"/>
      <c r="AM37" s="256"/>
      <c r="AN37" s="256"/>
      <c r="AO37" s="256"/>
      <c r="AP37" s="256"/>
      <c r="AQ37" s="256"/>
    </row>
    <row r="1040876" spans="1:43" s="257" customFormat="1" x14ac:dyDescent="0.25">
      <c r="A1040876" s="256"/>
      <c r="E1040876" s="293"/>
      <c r="K1040876" s="259"/>
      <c r="L1040876" s="260"/>
      <c r="M1040876" s="281"/>
      <c r="N1040876" s="281"/>
      <c r="O1040876" s="281"/>
      <c r="P1040876" s="281"/>
      <c r="Q1040876" s="281"/>
      <c r="R1040876" s="281"/>
      <c r="S1040876" s="281"/>
      <c r="T1040876" s="281"/>
      <c r="U1040876" s="281"/>
      <c r="V1040876" s="281"/>
      <c r="W1040876" s="281"/>
      <c r="X1040876" s="281"/>
      <c r="Y1040876" s="256"/>
      <c r="Z1040876" s="256"/>
      <c r="AA1040876" s="256"/>
      <c r="AB1040876" s="256"/>
      <c r="AC1040876" s="256"/>
      <c r="AD1040876" s="256"/>
      <c r="AE1040876" s="256"/>
      <c r="AF1040876" s="256"/>
      <c r="AG1040876" s="256"/>
      <c r="AH1040876" s="256"/>
      <c r="AI1040876" s="256"/>
      <c r="AJ1040876" s="256"/>
      <c r="AK1040876" s="256"/>
      <c r="AL1040876" s="256"/>
      <c r="AM1040876" s="256"/>
      <c r="AN1040876" s="256"/>
      <c r="AO1040876" s="256"/>
      <c r="AP1040876" s="256"/>
      <c r="AQ1040876" s="256"/>
    </row>
    <row r="1048547" spans="1:43" s="257" customFormat="1" x14ac:dyDescent="0.25">
      <c r="A1048547" s="256"/>
      <c r="C1048547" s="267" t="s">
        <v>612</v>
      </c>
      <c r="E1048547" s="258"/>
      <c r="K1048547" s="259"/>
      <c r="L1048547" s="260"/>
      <c r="M1048547" s="281"/>
      <c r="N1048547" s="281"/>
      <c r="O1048547" s="281"/>
      <c r="P1048547" s="281"/>
      <c r="Q1048547" s="281"/>
      <c r="R1048547" s="281"/>
      <c r="S1048547" s="281"/>
      <c r="T1048547" s="281"/>
      <c r="U1048547" s="281"/>
      <c r="V1048547" s="281"/>
      <c r="W1048547" s="281"/>
      <c r="X1048547" s="281"/>
      <c r="Y1048547" s="256"/>
      <c r="Z1048547" s="256"/>
      <c r="AA1048547" s="256"/>
      <c r="AB1048547" s="256"/>
      <c r="AC1048547" s="256"/>
      <c r="AD1048547" s="256"/>
      <c r="AE1048547" s="256"/>
      <c r="AF1048547" s="256"/>
      <c r="AG1048547" s="256"/>
      <c r="AH1048547" s="256"/>
      <c r="AI1048547" s="256"/>
      <c r="AJ1048547" s="256"/>
      <c r="AK1048547" s="256"/>
      <c r="AL1048547" s="256"/>
      <c r="AM1048547" s="256"/>
      <c r="AN1048547" s="256"/>
      <c r="AO1048547" s="256"/>
      <c r="AP1048547" s="256"/>
      <c r="AQ1048547" s="256"/>
    </row>
  </sheetData>
  <mergeCells count="8">
    <mergeCell ref="AH9:AK9"/>
    <mergeCell ref="AL9:AO9"/>
    <mergeCell ref="B2:AQ6"/>
    <mergeCell ref="M9:P9"/>
    <mergeCell ref="Q9:T9"/>
    <mergeCell ref="U9:X9"/>
    <mergeCell ref="Y9:AC9"/>
    <mergeCell ref="AD9:AG9"/>
  </mergeCells>
  <phoneticPr fontId="7" type="noConversion"/>
  <pageMargins left="0.7" right="0.7" top="0.75" bottom="0.75" header="0.3" footer="0.3"/>
  <pageSetup paperSize="9" scale="59"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297F8-5844-864C-A2D0-449D6C61D530}">
  <dimension ref="B1:DO132"/>
  <sheetViews>
    <sheetView showGridLines="0" zoomScale="75" zoomScaleNormal="80" workbookViewId="0">
      <pane xSplit="2" ySplit="4" topLeftCell="C102" activePane="bottomRight" state="frozen"/>
      <selection pane="topRight" activeCell="C1" sqref="C1"/>
      <selection pane="bottomLeft" activeCell="A7" sqref="A7"/>
      <selection pane="bottomRight" activeCell="C100" sqref="C100:C107"/>
    </sheetView>
  </sheetViews>
  <sheetFormatPr baseColWidth="10" defaultColWidth="10.81640625" defaultRowHeight="14" x14ac:dyDescent="0.3"/>
  <cols>
    <col min="1" max="1" width="3.81640625" style="1" customWidth="1"/>
    <col min="2" max="2" width="9" style="49" customWidth="1"/>
    <col min="3" max="3" width="43" style="1" customWidth="1"/>
    <col min="4" max="4" width="1" style="1" customWidth="1"/>
    <col min="5" max="5" width="7.453125" style="1" customWidth="1"/>
    <col min="6" max="6" width="1" style="1" customWidth="1"/>
    <col min="7" max="7" width="5.1796875" style="1" hidden="1" customWidth="1"/>
    <col min="8" max="8" width="5.1796875" style="19" hidden="1" customWidth="1"/>
    <col min="9" max="21" width="5.1796875" style="1" hidden="1" customWidth="1"/>
    <col min="22" max="22" width="8.81640625" style="1" customWidth="1"/>
    <col min="23" max="23" width="1" style="1" customWidth="1"/>
    <col min="24" max="24" width="10.1796875" style="1" customWidth="1"/>
    <col min="25" max="25" width="1" style="1" customWidth="1"/>
    <col min="26" max="26" width="10.1796875" style="1" customWidth="1"/>
    <col min="27" max="27" width="1" style="1" customWidth="1"/>
    <col min="28" max="28" width="13.453125" style="1" bestFit="1" customWidth="1"/>
    <col min="29" max="29" width="1" style="1" customWidth="1"/>
    <col min="30" max="30" width="13.453125" style="1" bestFit="1" customWidth="1"/>
    <col min="31" max="31" width="1" style="1" customWidth="1"/>
    <col min="32" max="57" width="6.81640625" style="1" customWidth="1"/>
    <col min="58" max="58" width="13.453125" style="1" bestFit="1" customWidth="1"/>
    <col min="59" max="119" width="6.81640625" style="1" customWidth="1"/>
    <col min="120" max="16384" width="10.81640625" style="1"/>
  </cols>
  <sheetData>
    <row r="1" spans="2:119" s="13" customFormat="1" x14ac:dyDescent="0.3">
      <c r="B1" s="43"/>
      <c r="H1" s="17"/>
    </row>
    <row r="2" spans="2:119" s="13" customFormat="1" ht="99" customHeight="1" x14ac:dyDescent="0.3">
      <c r="B2" s="308" t="s">
        <v>40</v>
      </c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8"/>
      <c r="AO2" s="308"/>
      <c r="AP2" s="308"/>
      <c r="AQ2" s="308"/>
      <c r="AR2" s="308"/>
      <c r="AS2" s="308"/>
      <c r="AT2" s="308"/>
      <c r="AU2" s="308"/>
      <c r="AV2" s="308"/>
      <c r="AW2" s="308"/>
      <c r="AX2" s="308"/>
      <c r="AY2" s="308"/>
      <c r="AZ2" s="308"/>
      <c r="BA2" s="308"/>
      <c r="BB2" s="308"/>
      <c r="BC2" s="308"/>
      <c r="BD2" s="308"/>
      <c r="BE2" s="308"/>
      <c r="BF2" s="308"/>
      <c r="BG2" s="308"/>
      <c r="BH2" s="308"/>
      <c r="BI2" s="308"/>
      <c r="BJ2" s="308"/>
      <c r="BK2" s="308"/>
      <c r="BL2" s="308"/>
      <c r="BM2" s="308"/>
      <c r="BN2" s="308"/>
      <c r="BO2" s="308"/>
      <c r="BP2" s="308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</row>
    <row r="3" spans="2:119" s="30" customFormat="1" ht="10" customHeight="1" x14ac:dyDescent="0.3">
      <c r="B3" s="44"/>
      <c r="H3" s="31"/>
      <c r="AF3" s="32">
        <v>45782</v>
      </c>
      <c r="AG3" s="32">
        <v>45783</v>
      </c>
      <c r="AH3" s="32">
        <v>45784</v>
      </c>
      <c r="AI3" s="32">
        <v>45785</v>
      </c>
      <c r="AJ3" s="32">
        <v>45786</v>
      </c>
      <c r="AK3" s="32">
        <v>45787</v>
      </c>
      <c r="AL3" s="32">
        <v>45788</v>
      </c>
      <c r="AM3" s="32">
        <v>45789</v>
      </c>
      <c r="AN3" s="32">
        <v>45790</v>
      </c>
      <c r="AO3" s="32">
        <v>45791</v>
      </c>
      <c r="AP3" s="32">
        <v>45792</v>
      </c>
      <c r="AQ3" s="32">
        <v>45793</v>
      </c>
      <c r="AR3" s="32">
        <v>45794</v>
      </c>
      <c r="AS3" s="32">
        <v>45795</v>
      </c>
      <c r="AT3" s="32">
        <v>45796</v>
      </c>
      <c r="AU3" s="32">
        <v>45797</v>
      </c>
      <c r="AV3" s="32">
        <v>45798</v>
      </c>
      <c r="AW3" s="32">
        <v>45799</v>
      </c>
      <c r="AX3" s="32">
        <v>45800</v>
      </c>
      <c r="AY3" s="32">
        <v>45801</v>
      </c>
      <c r="AZ3" s="32">
        <v>45802</v>
      </c>
      <c r="BA3" s="32">
        <v>45803</v>
      </c>
      <c r="BB3" s="32">
        <v>45804</v>
      </c>
      <c r="BC3" s="32">
        <v>45805</v>
      </c>
      <c r="BD3" s="32">
        <v>45806</v>
      </c>
      <c r="BE3" s="32">
        <v>45807</v>
      </c>
      <c r="BF3" s="32">
        <v>45808</v>
      </c>
      <c r="BG3" s="32">
        <v>45809</v>
      </c>
      <c r="BH3" s="32">
        <v>45810</v>
      </c>
      <c r="BI3" s="32">
        <v>45811</v>
      </c>
      <c r="BJ3" s="32">
        <v>45812</v>
      </c>
      <c r="BK3" s="32">
        <v>45813</v>
      </c>
      <c r="BL3" s="32">
        <v>45814</v>
      </c>
      <c r="BM3" s="32">
        <v>45815</v>
      </c>
      <c r="BN3" s="32">
        <v>45816</v>
      </c>
      <c r="BO3" s="32">
        <v>45817</v>
      </c>
      <c r="BP3" s="32">
        <v>45818</v>
      </c>
      <c r="BQ3" s="32">
        <v>45819</v>
      </c>
      <c r="BR3" s="32">
        <v>45820</v>
      </c>
      <c r="BS3" s="32">
        <v>45821</v>
      </c>
      <c r="BT3" s="32">
        <v>45822</v>
      </c>
      <c r="BU3" s="32">
        <v>45823</v>
      </c>
      <c r="BV3" s="32">
        <v>45824</v>
      </c>
      <c r="BW3" s="32">
        <v>45825</v>
      </c>
      <c r="BX3" s="32">
        <v>45826</v>
      </c>
      <c r="BY3" s="32">
        <v>45827</v>
      </c>
      <c r="BZ3" s="32">
        <v>45828</v>
      </c>
      <c r="CA3" s="32">
        <v>45829</v>
      </c>
      <c r="CB3" s="32">
        <v>45830</v>
      </c>
      <c r="CC3" s="32">
        <v>45831</v>
      </c>
      <c r="CD3" s="32">
        <v>45832</v>
      </c>
      <c r="CE3" s="32">
        <v>45833</v>
      </c>
      <c r="CF3" s="32">
        <v>45834</v>
      </c>
      <c r="CG3" s="32">
        <v>45835</v>
      </c>
      <c r="CH3" s="32">
        <v>45836</v>
      </c>
      <c r="CI3" s="32">
        <v>45837</v>
      </c>
      <c r="CJ3" s="32">
        <v>45838</v>
      </c>
      <c r="CK3" s="32">
        <v>45839</v>
      </c>
      <c r="CL3" s="32">
        <v>45840</v>
      </c>
      <c r="CM3" s="32">
        <v>45841</v>
      </c>
      <c r="CN3" s="32">
        <v>45842</v>
      </c>
      <c r="CO3" s="32">
        <v>45843</v>
      </c>
      <c r="CP3" s="32">
        <v>45844</v>
      </c>
      <c r="CQ3" s="32">
        <v>45845</v>
      </c>
      <c r="CR3" s="32">
        <v>45846</v>
      </c>
      <c r="CS3" s="32">
        <v>45847</v>
      </c>
      <c r="CT3" s="32">
        <v>45848</v>
      </c>
      <c r="CU3" s="32">
        <v>45849</v>
      </c>
      <c r="CV3" s="32">
        <v>45850</v>
      </c>
      <c r="CW3" s="32">
        <v>45851</v>
      </c>
      <c r="CX3" s="32">
        <v>45852</v>
      </c>
      <c r="CY3" s="32">
        <v>45853</v>
      </c>
      <c r="CZ3" s="32">
        <v>45854</v>
      </c>
      <c r="DA3" s="32">
        <v>45855</v>
      </c>
      <c r="DB3" s="32">
        <v>45856</v>
      </c>
      <c r="DC3" s="32">
        <v>45857</v>
      </c>
      <c r="DD3" s="32">
        <v>45858</v>
      </c>
      <c r="DE3" s="32">
        <v>45859</v>
      </c>
      <c r="DF3" s="32">
        <v>45860</v>
      </c>
      <c r="DG3" s="32">
        <v>45861</v>
      </c>
      <c r="DH3" s="32">
        <v>45862</v>
      </c>
      <c r="DI3" s="32">
        <v>45863</v>
      </c>
      <c r="DJ3" s="32">
        <v>45864</v>
      </c>
      <c r="DK3" s="32">
        <v>45865</v>
      </c>
      <c r="DL3" s="32">
        <v>45866</v>
      </c>
      <c r="DM3" s="32">
        <v>45867</v>
      </c>
      <c r="DN3" s="32">
        <v>45868</v>
      </c>
      <c r="DO3" s="32">
        <v>45869</v>
      </c>
    </row>
    <row r="4" spans="2:119" ht="47" customHeight="1" x14ac:dyDescent="0.3">
      <c r="B4" s="45" t="s">
        <v>41</v>
      </c>
      <c r="C4" s="3" t="s">
        <v>42</v>
      </c>
      <c r="E4" s="3" t="s">
        <v>28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 t="s">
        <v>22</v>
      </c>
      <c r="Q4" s="3" t="s">
        <v>23</v>
      </c>
      <c r="R4" s="3" t="s">
        <v>24</v>
      </c>
      <c r="S4" s="3" t="s">
        <v>25</v>
      </c>
      <c r="T4" s="3" t="s">
        <v>26</v>
      </c>
      <c r="U4" s="3" t="s">
        <v>27</v>
      </c>
      <c r="V4" s="3" t="s">
        <v>43</v>
      </c>
      <c r="X4" s="3" t="s">
        <v>44</v>
      </c>
      <c r="Z4" s="3" t="s">
        <v>45</v>
      </c>
      <c r="AB4" s="3" t="s">
        <v>46</v>
      </c>
      <c r="AD4" s="3" t="s">
        <v>298</v>
      </c>
      <c r="AF4" s="29">
        <v>45782</v>
      </c>
      <c r="AG4" s="29">
        <v>45783</v>
      </c>
      <c r="AH4" s="29">
        <v>45784</v>
      </c>
      <c r="AI4" s="29">
        <v>45785</v>
      </c>
      <c r="AJ4" s="29">
        <v>45786</v>
      </c>
      <c r="AK4" s="29">
        <v>45787</v>
      </c>
      <c r="AL4" s="29">
        <v>45788</v>
      </c>
      <c r="AM4" s="29">
        <v>45789</v>
      </c>
      <c r="AN4" s="29">
        <v>45790</v>
      </c>
      <c r="AO4" s="29">
        <v>45791</v>
      </c>
      <c r="AP4" s="29">
        <v>45792</v>
      </c>
      <c r="AQ4" s="29">
        <v>45793</v>
      </c>
      <c r="AR4" s="29">
        <v>45794</v>
      </c>
      <c r="AS4" s="29">
        <v>45795</v>
      </c>
      <c r="AT4" s="29">
        <v>45796</v>
      </c>
      <c r="AU4" s="29">
        <v>45797</v>
      </c>
      <c r="AV4" s="29">
        <v>45798</v>
      </c>
      <c r="AW4" s="29">
        <v>45799</v>
      </c>
      <c r="AX4" s="29">
        <v>45800</v>
      </c>
      <c r="AY4" s="29">
        <v>45801</v>
      </c>
      <c r="AZ4" s="29">
        <v>45802</v>
      </c>
      <c r="BA4" s="29">
        <v>45803</v>
      </c>
      <c r="BB4" s="29">
        <v>45804</v>
      </c>
      <c r="BC4" s="29">
        <v>45805</v>
      </c>
      <c r="BD4" s="29">
        <v>45806</v>
      </c>
      <c r="BE4" s="29">
        <v>45807</v>
      </c>
      <c r="BF4" s="29">
        <v>45808</v>
      </c>
      <c r="BG4" s="29">
        <v>45809</v>
      </c>
      <c r="BH4" s="29">
        <v>45810</v>
      </c>
      <c r="BI4" s="29">
        <v>45811</v>
      </c>
      <c r="BJ4" s="29">
        <v>45812</v>
      </c>
      <c r="BK4" s="29">
        <v>45813</v>
      </c>
      <c r="BL4" s="29">
        <v>45814</v>
      </c>
      <c r="BM4" s="29">
        <v>45815</v>
      </c>
      <c r="BN4" s="29">
        <v>45816</v>
      </c>
      <c r="BO4" s="29">
        <v>45817</v>
      </c>
      <c r="BP4" s="29">
        <v>45818</v>
      </c>
      <c r="BQ4" s="29">
        <v>45819</v>
      </c>
      <c r="BR4" s="29">
        <v>45820</v>
      </c>
      <c r="BS4" s="29">
        <v>45821</v>
      </c>
      <c r="BT4" s="29">
        <v>45822</v>
      </c>
      <c r="BU4" s="29">
        <v>45823</v>
      </c>
      <c r="BV4" s="29">
        <v>45824</v>
      </c>
      <c r="BW4" s="29">
        <v>45825</v>
      </c>
      <c r="BX4" s="29">
        <v>45826</v>
      </c>
      <c r="BY4" s="29">
        <v>45827</v>
      </c>
      <c r="BZ4" s="29">
        <v>45828</v>
      </c>
      <c r="CA4" s="29">
        <v>45829</v>
      </c>
      <c r="CB4" s="29">
        <v>45830</v>
      </c>
      <c r="CC4" s="29">
        <v>45831</v>
      </c>
      <c r="CD4" s="29">
        <v>45832</v>
      </c>
      <c r="CE4" s="29">
        <v>45833</v>
      </c>
      <c r="CF4" s="29">
        <v>45834</v>
      </c>
      <c r="CG4" s="29">
        <v>45835</v>
      </c>
      <c r="CH4" s="29">
        <v>45836</v>
      </c>
      <c r="CI4" s="29">
        <v>45837</v>
      </c>
      <c r="CJ4" s="29">
        <v>45838</v>
      </c>
      <c r="CK4" s="29">
        <v>45839</v>
      </c>
      <c r="CL4" s="29">
        <v>45840</v>
      </c>
      <c r="CM4" s="29">
        <v>45841</v>
      </c>
      <c r="CN4" s="29">
        <v>45842</v>
      </c>
      <c r="CO4" s="29">
        <v>45843</v>
      </c>
      <c r="CP4" s="29">
        <v>45844</v>
      </c>
      <c r="CQ4" s="29">
        <v>45845</v>
      </c>
      <c r="CR4" s="29">
        <v>45846</v>
      </c>
      <c r="CS4" s="29">
        <v>45847</v>
      </c>
      <c r="CT4" s="29">
        <v>45848</v>
      </c>
      <c r="CU4" s="29">
        <v>45849</v>
      </c>
      <c r="CV4" s="29">
        <v>45850</v>
      </c>
      <c r="CW4" s="29">
        <v>45851</v>
      </c>
      <c r="CX4" s="29">
        <v>45852</v>
      </c>
      <c r="CY4" s="29">
        <v>45853</v>
      </c>
      <c r="CZ4" s="29">
        <v>45854</v>
      </c>
      <c r="DA4" s="29">
        <v>45855</v>
      </c>
      <c r="DB4" s="29">
        <v>45856</v>
      </c>
      <c r="DC4" s="29">
        <v>45857</v>
      </c>
      <c r="DD4" s="29">
        <v>45858</v>
      </c>
      <c r="DE4" s="29">
        <v>45859</v>
      </c>
      <c r="DF4" s="29">
        <v>45860</v>
      </c>
      <c r="DG4" s="29">
        <v>45861</v>
      </c>
      <c r="DH4" s="29">
        <v>45862</v>
      </c>
      <c r="DI4" s="29">
        <v>45863</v>
      </c>
      <c r="DJ4" s="29">
        <v>45864</v>
      </c>
      <c r="DK4" s="29">
        <v>45865</v>
      </c>
      <c r="DL4" s="29">
        <v>45866</v>
      </c>
      <c r="DM4" s="29">
        <v>45867</v>
      </c>
      <c r="DN4" s="29">
        <v>45868</v>
      </c>
      <c r="DO4" s="29">
        <v>45869</v>
      </c>
    </row>
    <row r="5" spans="2:119" ht="25" customHeight="1" x14ac:dyDescent="0.3">
      <c r="B5" s="46">
        <v>1</v>
      </c>
      <c r="C5" s="37" t="s">
        <v>172</v>
      </c>
      <c r="E5" s="39"/>
      <c r="V5" s="39"/>
      <c r="X5" s="39"/>
      <c r="Z5" s="39"/>
      <c r="AB5" s="39"/>
      <c r="AD5" s="39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</row>
    <row r="6" spans="2:119" ht="25" customHeight="1" x14ac:dyDescent="0.3">
      <c r="B6" s="47">
        <v>2</v>
      </c>
      <c r="C6" s="40" t="s">
        <v>605</v>
      </c>
      <c r="E6" s="39">
        <v>19</v>
      </c>
      <c r="V6" s="39">
        <f>_xlfn.DAYS(Z6,X6)</f>
        <v>0</v>
      </c>
      <c r="X6" s="246">
        <v>45782</v>
      </c>
      <c r="Z6" s="246">
        <v>45782</v>
      </c>
      <c r="AB6" s="39" t="s">
        <v>606</v>
      </c>
      <c r="AD6" s="39"/>
      <c r="AF6" s="248"/>
      <c r="AG6" s="248"/>
      <c r="AH6" s="248"/>
      <c r="AI6" s="248"/>
      <c r="AJ6" s="248"/>
      <c r="AK6" s="248"/>
      <c r="AL6" s="248"/>
      <c r="AM6" s="248"/>
      <c r="AN6" s="248"/>
      <c r="AO6" s="248"/>
      <c r="AP6" s="248"/>
      <c r="AQ6" s="248"/>
      <c r="AR6" s="248"/>
      <c r="AS6" s="248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</row>
    <row r="7" spans="2:119" ht="25" customHeight="1" x14ac:dyDescent="0.3">
      <c r="B7" s="47">
        <v>3</v>
      </c>
      <c r="C7" s="40" t="s">
        <v>607</v>
      </c>
      <c r="E7" s="39">
        <v>19</v>
      </c>
      <c r="V7" s="39">
        <f>_xlfn.DAYS(Z7,X7)</f>
        <v>0</v>
      </c>
      <c r="X7" s="246">
        <v>45782</v>
      </c>
      <c r="Z7" s="246">
        <v>45782</v>
      </c>
      <c r="AB7" s="39" t="s">
        <v>606</v>
      </c>
      <c r="AD7" s="39"/>
      <c r="AF7" s="248"/>
      <c r="AG7" s="248"/>
      <c r="AH7" s="248"/>
      <c r="AI7" s="248"/>
      <c r="AJ7" s="248"/>
      <c r="AK7" s="248"/>
      <c r="AL7" s="248"/>
      <c r="AM7" s="248"/>
      <c r="AN7" s="248"/>
      <c r="AO7" s="248"/>
      <c r="AP7" s="248"/>
      <c r="AQ7" s="248"/>
      <c r="AR7" s="248"/>
      <c r="AS7" s="248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</row>
    <row r="8" spans="2:119" ht="25" customHeight="1" x14ac:dyDescent="0.3">
      <c r="B8" s="47"/>
      <c r="C8" s="40" t="s">
        <v>608</v>
      </c>
      <c r="E8" s="39"/>
      <c r="V8" s="39"/>
      <c r="X8" s="246"/>
      <c r="Z8" s="246"/>
      <c r="AB8" s="39"/>
      <c r="AD8" s="39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</row>
    <row r="9" spans="2:119" ht="25" customHeight="1" x14ac:dyDescent="0.3">
      <c r="B9" s="47" t="s">
        <v>168</v>
      </c>
      <c r="C9" s="40" t="s">
        <v>142</v>
      </c>
      <c r="E9" s="39"/>
      <c r="V9" s="39"/>
      <c r="X9" s="39"/>
      <c r="Z9" s="39"/>
      <c r="AB9" s="39"/>
      <c r="AD9" s="39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</row>
    <row r="10" spans="2:119" ht="25" customHeight="1" x14ac:dyDescent="0.3">
      <c r="B10" s="47" t="s">
        <v>169</v>
      </c>
      <c r="C10" s="40" t="s">
        <v>143</v>
      </c>
      <c r="E10" s="39"/>
      <c r="V10" s="39"/>
      <c r="X10" s="39"/>
      <c r="Z10" s="39"/>
      <c r="AB10" s="39"/>
      <c r="AD10" s="39"/>
      <c r="AF10" s="7"/>
      <c r="AG10" s="5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</row>
    <row r="11" spans="2:119" ht="25" customHeight="1" x14ac:dyDescent="0.3">
      <c r="B11" s="47" t="s">
        <v>170</v>
      </c>
      <c r="C11" s="50" t="s">
        <v>171</v>
      </c>
      <c r="E11" s="39"/>
      <c r="V11" s="39"/>
      <c r="X11" s="39"/>
      <c r="Z11" s="39"/>
      <c r="AB11" s="39"/>
      <c r="AD11" s="39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</row>
    <row r="12" spans="2:119" ht="25" customHeight="1" x14ac:dyDescent="0.3">
      <c r="B12" s="46" t="s">
        <v>173</v>
      </c>
      <c r="C12" s="37" t="s">
        <v>174</v>
      </c>
      <c r="E12" s="39"/>
      <c r="V12" s="39"/>
      <c r="X12" s="39"/>
      <c r="Z12" s="39"/>
      <c r="AB12" s="39"/>
      <c r="AD12" s="39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</row>
    <row r="13" spans="2:119" ht="25" customHeight="1" x14ac:dyDescent="0.3">
      <c r="B13" s="47" t="s">
        <v>181</v>
      </c>
      <c r="C13" s="40" t="s">
        <v>175</v>
      </c>
      <c r="E13" s="39"/>
      <c r="V13" s="39"/>
      <c r="X13" s="39"/>
      <c r="Z13" s="39"/>
      <c r="AB13" s="39"/>
      <c r="AD13" s="39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</row>
    <row r="14" spans="2:119" ht="25" customHeight="1" x14ac:dyDescent="0.3">
      <c r="B14" s="47" t="s">
        <v>182</v>
      </c>
      <c r="C14" s="40" t="s">
        <v>176</v>
      </c>
      <c r="E14" s="39"/>
      <c r="V14" s="39"/>
      <c r="X14" s="39"/>
      <c r="Z14" s="39"/>
      <c r="AB14" s="39"/>
      <c r="AD14" s="39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</row>
    <row r="15" spans="2:119" ht="25" customHeight="1" x14ac:dyDescent="0.3">
      <c r="B15" s="47" t="s">
        <v>183</v>
      </c>
      <c r="C15" s="40" t="s">
        <v>177</v>
      </c>
      <c r="E15" s="39"/>
      <c r="V15" s="39"/>
      <c r="X15" s="39"/>
      <c r="Z15" s="39"/>
      <c r="AB15" s="39"/>
      <c r="AD15" s="39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</row>
    <row r="16" spans="2:119" ht="25" customHeight="1" x14ac:dyDescent="0.3">
      <c r="B16" s="47" t="s">
        <v>184</v>
      </c>
      <c r="C16" s="40" t="s">
        <v>178</v>
      </c>
      <c r="E16" s="39"/>
      <c r="V16" s="39"/>
      <c r="X16" s="39"/>
      <c r="Z16" s="39"/>
      <c r="AB16" s="39"/>
      <c r="AD16" s="39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</row>
    <row r="17" spans="2:119" ht="25" customHeight="1" x14ac:dyDescent="0.3">
      <c r="B17" s="47" t="s">
        <v>185</v>
      </c>
      <c r="C17" s="40" t="s">
        <v>179</v>
      </c>
      <c r="E17" s="39"/>
      <c r="V17" s="39"/>
      <c r="X17" s="39"/>
      <c r="Z17" s="39"/>
      <c r="AB17" s="39"/>
      <c r="AD17" s="39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</row>
    <row r="18" spans="2:119" ht="25" customHeight="1" x14ac:dyDescent="0.3">
      <c r="B18" s="47" t="s">
        <v>186</v>
      </c>
      <c r="C18" s="50" t="s">
        <v>180</v>
      </c>
      <c r="E18" s="39"/>
      <c r="V18" s="39"/>
      <c r="X18" s="39"/>
      <c r="Z18" s="39"/>
      <c r="AB18" s="39"/>
      <c r="AD18" s="39"/>
      <c r="AF18" s="7"/>
      <c r="AG18" s="5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</row>
    <row r="19" spans="2:119" ht="25" customHeight="1" x14ac:dyDescent="0.3">
      <c r="B19" s="46" t="s">
        <v>187</v>
      </c>
      <c r="C19" s="37" t="s">
        <v>188</v>
      </c>
      <c r="E19" s="39"/>
      <c r="V19" s="39"/>
      <c r="X19" s="39"/>
      <c r="Z19" s="39"/>
      <c r="AB19" s="39"/>
      <c r="AD19" s="39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</row>
    <row r="20" spans="2:119" ht="25" customHeight="1" x14ac:dyDescent="0.3">
      <c r="B20" s="47" t="s">
        <v>194</v>
      </c>
      <c r="C20" s="40" t="s">
        <v>189</v>
      </c>
      <c r="E20" s="39"/>
      <c r="V20" s="39"/>
      <c r="X20" s="39"/>
      <c r="Z20" s="39"/>
      <c r="AB20" s="39"/>
      <c r="AD20" s="39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</row>
    <row r="21" spans="2:119" ht="25" customHeight="1" x14ac:dyDescent="0.3">
      <c r="B21" s="47" t="s">
        <v>195</v>
      </c>
      <c r="C21" s="40" t="s">
        <v>190</v>
      </c>
      <c r="E21" s="39"/>
      <c r="V21" s="39"/>
      <c r="X21" s="39"/>
      <c r="Z21" s="39"/>
      <c r="AB21" s="39"/>
      <c r="AD21" s="39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</row>
    <row r="22" spans="2:119" ht="25" customHeight="1" x14ac:dyDescent="0.3">
      <c r="B22" s="47" t="s">
        <v>196</v>
      </c>
      <c r="C22" s="40" t="s">
        <v>177</v>
      </c>
      <c r="E22" s="39"/>
      <c r="V22" s="39"/>
      <c r="X22" s="39"/>
      <c r="Z22" s="39"/>
      <c r="AB22" s="39"/>
      <c r="AD22" s="39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</row>
    <row r="23" spans="2:119" ht="25" customHeight="1" x14ac:dyDescent="0.3">
      <c r="B23" s="47" t="s">
        <v>197</v>
      </c>
      <c r="C23" s="40" t="s">
        <v>191</v>
      </c>
      <c r="E23" s="39"/>
      <c r="V23" s="39"/>
      <c r="X23" s="39"/>
      <c r="Z23" s="39"/>
      <c r="AB23" s="39"/>
      <c r="AD23" s="39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</row>
    <row r="24" spans="2:119" ht="25" customHeight="1" x14ac:dyDescent="0.3">
      <c r="B24" s="47" t="s">
        <v>198</v>
      </c>
      <c r="C24" s="40" t="s">
        <v>192</v>
      </c>
      <c r="E24" s="39"/>
      <c r="V24" s="39"/>
      <c r="X24" s="39"/>
      <c r="Z24" s="39"/>
      <c r="AB24" s="39"/>
      <c r="AD24" s="39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</row>
    <row r="25" spans="2:119" ht="25" customHeight="1" x14ac:dyDescent="0.3">
      <c r="B25" s="47" t="s">
        <v>199</v>
      </c>
      <c r="C25" s="40" t="s">
        <v>193</v>
      </c>
      <c r="E25" s="39"/>
      <c r="V25" s="39"/>
      <c r="X25" s="39"/>
      <c r="Z25" s="39"/>
      <c r="AB25" s="39"/>
      <c r="AD25" s="39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</row>
    <row r="26" spans="2:119" ht="25" customHeight="1" x14ac:dyDescent="0.3">
      <c r="B26" s="47" t="s">
        <v>200</v>
      </c>
      <c r="C26" s="50" t="s">
        <v>201</v>
      </c>
      <c r="E26" s="39"/>
      <c r="V26" s="39"/>
      <c r="X26" s="39"/>
      <c r="Z26" s="39"/>
      <c r="AB26" s="39"/>
      <c r="AD26" s="39"/>
      <c r="AF26" s="7"/>
      <c r="AG26" s="5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</row>
    <row r="27" spans="2:119" ht="25" customHeight="1" x14ac:dyDescent="0.3">
      <c r="B27" s="46" t="s">
        <v>202</v>
      </c>
      <c r="C27" s="37" t="s">
        <v>203</v>
      </c>
      <c r="E27" s="39"/>
      <c r="V27" s="39"/>
      <c r="X27" s="39"/>
      <c r="Z27" s="39"/>
      <c r="AB27" s="39"/>
      <c r="AD27" s="39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</row>
    <row r="28" spans="2:119" ht="25" customHeight="1" x14ac:dyDescent="0.3">
      <c r="B28" s="47" t="s">
        <v>204</v>
      </c>
      <c r="C28" s="40" t="s">
        <v>206</v>
      </c>
      <c r="E28" s="39"/>
      <c r="V28" s="39"/>
      <c r="X28" s="39"/>
      <c r="Z28" s="39"/>
      <c r="AB28" s="39"/>
      <c r="AD28" s="39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</row>
    <row r="29" spans="2:119" ht="25" customHeight="1" x14ac:dyDescent="0.3">
      <c r="B29" s="47" t="s">
        <v>211</v>
      </c>
      <c r="C29" s="40" t="s">
        <v>205</v>
      </c>
      <c r="E29" s="39"/>
      <c r="V29" s="39"/>
      <c r="X29" s="39"/>
      <c r="Z29" s="39"/>
      <c r="AB29" s="39"/>
      <c r="AD29" s="39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</row>
    <row r="30" spans="2:119" ht="25" customHeight="1" x14ac:dyDescent="0.3">
      <c r="B30" s="47" t="s">
        <v>212</v>
      </c>
      <c r="C30" s="40" t="s">
        <v>207</v>
      </c>
      <c r="E30" s="39"/>
      <c r="V30" s="39"/>
      <c r="X30" s="39"/>
      <c r="Z30" s="39"/>
      <c r="AB30" s="39"/>
      <c r="AD30" s="39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</row>
    <row r="31" spans="2:119" ht="25" customHeight="1" x14ac:dyDescent="0.3">
      <c r="B31" s="47" t="s">
        <v>213</v>
      </c>
      <c r="C31" s="40" t="s">
        <v>208</v>
      </c>
      <c r="E31" s="39"/>
      <c r="V31" s="39"/>
      <c r="X31" s="39"/>
      <c r="Z31" s="39"/>
      <c r="AB31" s="39"/>
      <c r="AD31" s="39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</row>
    <row r="32" spans="2:119" ht="25" customHeight="1" x14ac:dyDescent="0.3">
      <c r="B32" s="47" t="s">
        <v>214</v>
      </c>
      <c r="C32" s="40" t="s">
        <v>209</v>
      </c>
      <c r="E32" s="39"/>
      <c r="V32" s="39"/>
      <c r="X32" s="39"/>
      <c r="Z32" s="39"/>
      <c r="AB32" s="39"/>
      <c r="AD32" s="39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</row>
    <row r="33" spans="2:119" ht="25" customHeight="1" x14ac:dyDescent="0.3">
      <c r="B33" s="47" t="s">
        <v>215</v>
      </c>
      <c r="C33" s="50" t="s">
        <v>210</v>
      </c>
      <c r="E33" s="39"/>
      <c r="V33" s="39"/>
      <c r="X33" s="39"/>
      <c r="Z33" s="39"/>
      <c r="AB33" s="39"/>
      <c r="AD33" s="39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</row>
    <row r="34" spans="2:119" ht="25" customHeight="1" x14ac:dyDescent="0.3">
      <c r="B34" s="46">
        <v>1.3</v>
      </c>
      <c r="C34" s="38" t="s">
        <v>216</v>
      </c>
      <c r="E34" s="39"/>
      <c r="V34" s="39"/>
      <c r="X34" s="39"/>
      <c r="Z34" s="39"/>
      <c r="AB34" s="39"/>
      <c r="AD34" s="39"/>
      <c r="AF34" s="7"/>
      <c r="AG34" s="5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</row>
    <row r="35" spans="2:119" ht="25" customHeight="1" x14ac:dyDescent="0.3">
      <c r="B35" s="46" t="s">
        <v>217</v>
      </c>
      <c r="C35" s="37" t="s">
        <v>218</v>
      </c>
      <c r="E35" s="39"/>
      <c r="V35" s="39"/>
      <c r="X35" s="39"/>
      <c r="Z35" s="39"/>
      <c r="AB35" s="39"/>
      <c r="AD35" s="39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</row>
    <row r="36" spans="2:119" ht="25" customHeight="1" x14ac:dyDescent="0.3">
      <c r="B36" s="47" t="s">
        <v>219</v>
      </c>
      <c r="C36" s="40" t="s">
        <v>220</v>
      </c>
      <c r="E36" s="39"/>
      <c r="V36" s="39"/>
      <c r="X36" s="39"/>
      <c r="Z36" s="39"/>
      <c r="AB36" s="39"/>
      <c r="AD36" s="39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</row>
    <row r="37" spans="2:119" ht="25" customHeight="1" x14ac:dyDescent="0.3">
      <c r="B37" s="47" t="s">
        <v>227</v>
      </c>
      <c r="C37" s="40" t="s">
        <v>222</v>
      </c>
      <c r="E37" s="39"/>
      <c r="V37" s="39"/>
      <c r="X37" s="39"/>
      <c r="Z37" s="39"/>
      <c r="AB37" s="39"/>
      <c r="AD37" s="39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</row>
    <row r="38" spans="2:119" ht="25" customHeight="1" x14ac:dyDescent="0.3">
      <c r="B38" s="47" t="s">
        <v>228</v>
      </c>
      <c r="C38" s="40" t="s">
        <v>223</v>
      </c>
      <c r="E38" s="39"/>
      <c r="V38" s="39"/>
      <c r="X38" s="39"/>
      <c r="Z38" s="39"/>
      <c r="AB38" s="39"/>
      <c r="AD38" s="39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</row>
    <row r="39" spans="2:119" ht="25" customHeight="1" x14ac:dyDescent="0.3">
      <c r="B39" s="47" t="s">
        <v>229</v>
      </c>
      <c r="C39" s="40" t="s">
        <v>224</v>
      </c>
      <c r="E39" s="39"/>
      <c r="V39" s="39"/>
      <c r="X39" s="39"/>
      <c r="Z39" s="39"/>
      <c r="AB39" s="39"/>
      <c r="AD39" s="39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</row>
    <row r="40" spans="2:119" ht="25" customHeight="1" x14ac:dyDescent="0.3">
      <c r="B40" s="47" t="s">
        <v>230</v>
      </c>
      <c r="C40" s="40" t="s">
        <v>225</v>
      </c>
      <c r="E40" s="39"/>
      <c r="V40" s="39"/>
      <c r="X40" s="39"/>
      <c r="Z40" s="39"/>
      <c r="AB40" s="39"/>
      <c r="AD40" s="39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</row>
    <row r="41" spans="2:119" ht="25" customHeight="1" x14ac:dyDescent="0.3">
      <c r="B41" s="47" t="s">
        <v>231</v>
      </c>
      <c r="C41" s="40" t="s">
        <v>236</v>
      </c>
      <c r="E41" s="39"/>
      <c r="V41" s="39"/>
      <c r="X41" s="39"/>
      <c r="Z41" s="39"/>
      <c r="AB41" s="39"/>
      <c r="AD41" s="39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</row>
    <row r="42" spans="2:119" ht="25" customHeight="1" x14ac:dyDescent="0.3">
      <c r="B42" s="47" t="s">
        <v>232</v>
      </c>
      <c r="C42" s="40" t="s">
        <v>237</v>
      </c>
      <c r="E42" s="39"/>
      <c r="V42" s="39"/>
      <c r="X42" s="39"/>
      <c r="Z42" s="39"/>
      <c r="AB42" s="39"/>
      <c r="AD42" s="39"/>
      <c r="AF42" s="7"/>
      <c r="AG42" s="5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</row>
    <row r="43" spans="2:119" ht="25" customHeight="1" x14ac:dyDescent="0.3">
      <c r="B43" s="47" t="s">
        <v>243</v>
      </c>
      <c r="C43" s="40" t="s">
        <v>238</v>
      </c>
      <c r="E43" s="39"/>
      <c r="V43" s="39"/>
      <c r="X43" s="39"/>
      <c r="Z43" s="39"/>
      <c r="AB43" s="39"/>
      <c r="AD43" s="39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</row>
    <row r="44" spans="2:119" ht="25" customHeight="1" x14ac:dyDescent="0.3">
      <c r="B44" s="47" t="s">
        <v>244</v>
      </c>
      <c r="C44" s="40" t="s">
        <v>239</v>
      </c>
      <c r="E44" s="39"/>
      <c r="V44" s="39"/>
      <c r="X44" s="39"/>
      <c r="Z44" s="39"/>
      <c r="AB44" s="39"/>
      <c r="AD44" s="39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</row>
    <row r="45" spans="2:119" ht="25" customHeight="1" x14ac:dyDescent="0.3">
      <c r="B45" s="47" t="s">
        <v>245</v>
      </c>
      <c r="C45" s="40" t="s">
        <v>240</v>
      </c>
      <c r="E45" s="39"/>
      <c r="V45" s="39"/>
      <c r="X45" s="39"/>
      <c r="Z45" s="39"/>
      <c r="AB45" s="39"/>
      <c r="AD45" s="39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</row>
    <row r="46" spans="2:119" ht="25" customHeight="1" x14ac:dyDescent="0.3">
      <c r="B46" s="47" t="s">
        <v>246</v>
      </c>
      <c r="C46" s="40" t="s">
        <v>250</v>
      </c>
      <c r="E46" s="39"/>
      <c r="V46" s="39"/>
      <c r="X46" s="39"/>
      <c r="Z46" s="39"/>
      <c r="AB46" s="39"/>
      <c r="AD46" s="39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</row>
    <row r="47" spans="2:119" ht="25" customHeight="1" x14ac:dyDescent="0.3">
      <c r="B47" s="47" t="s">
        <v>247</v>
      </c>
      <c r="C47" s="40" t="s">
        <v>241</v>
      </c>
      <c r="E47" s="39"/>
      <c r="V47" s="39"/>
      <c r="X47" s="39"/>
      <c r="Z47" s="39"/>
      <c r="AB47" s="39"/>
      <c r="AD47" s="39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</row>
    <row r="48" spans="2:119" ht="25" customHeight="1" x14ac:dyDescent="0.3">
      <c r="B48" s="47" t="s">
        <v>248</v>
      </c>
      <c r="C48" s="40" t="s">
        <v>242</v>
      </c>
      <c r="E48" s="39"/>
      <c r="V48" s="39"/>
      <c r="X48" s="39"/>
      <c r="Z48" s="39"/>
      <c r="AB48" s="39"/>
      <c r="AD48" s="39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</row>
    <row r="49" spans="2:119" ht="25" customHeight="1" x14ac:dyDescent="0.3">
      <c r="B49" s="47" t="s">
        <v>249</v>
      </c>
      <c r="C49" s="41" t="s">
        <v>251</v>
      </c>
      <c r="E49" s="39"/>
      <c r="V49" s="39"/>
      <c r="X49" s="39"/>
      <c r="Z49" s="39"/>
      <c r="AB49" s="39"/>
      <c r="AD49" s="39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</row>
    <row r="50" spans="2:119" ht="25" customHeight="1" x14ac:dyDescent="0.3">
      <c r="B50" s="46" t="s">
        <v>317</v>
      </c>
      <c r="C50" s="37" t="s">
        <v>233</v>
      </c>
      <c r="E50" s="39"/>
      <c r="V50" s="39"/>
      <c r="X50" s="39"/>
      <c r="Z50" s="39"/>
      <c r="AB50" s="39"/>
      <c r="AD50" s="39"/>
      <c r="AF50" s="7"/>
      <c r="AG50" s="5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</row>
    <row r="51" spans="2:119" ht="25" customHeight="1" x14ac:dyDescent="0.3">
      <c r="B51" s="47" t="s">
        <v>318</v>
      </c>
      <c r="C51" s="40" t="s">
        <v>221</v>
      </c>
      <c r="E51" s="39"/>
      <c r="V51" s="39"/>
      <c r="X51" s="39"/>
      <c r="Z51" s="39"/>
      <c r="AB51" s="39"/>
      <c r="AD51" s="39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</row>
    <row r="52" spans="2:119" ht="25" customHeight="1" x14ac:dyDescent="0.3">
      <c r="B52" s="47" t="s">
        <v>319</v>
      </c>
      <c r="C52" s="40" t="s">
        <v>235</v>
      </c>
      <c r="E52" s="39"/>
      <c r="V52" s="39"/>
      <c r="X52" s="39"/>
      <c r="Z52" s="39"/>
      <c r="AB52" s="39"/>
      <c r="AD52" s="39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</row>
    <row r="53" spans="2:119" ht="25" customHeight="1" x14ac:dyDescent="0.3">
      <c r="B53" s="47" t="s">
        <v>320</v>
      </c>
      <c r="C53" s="40" t="s">
        <v>226</v>
      </c>
      <c r="E53" s="39"/>
      <c r="V53" s="39"/>
      <c r="X53" s="39"/>
      <c r="Z53" s="39"/>
      <c r="AB53" s="39"/>
      <c r="AD53" s="23" t="s">
        <v>31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</row>
    <row r="54" spans="2:119" ht="25" customHeight="1" x14ac:dyDescent="0.3">
      <c r="B54" s="47" t="s">
        <v>321</v>
      </c>
      <c r="C54" s="40" t="s">
        <v>253</v>
      </c>
      <c r="E54" s="39"/>
      <c r="V54" s="39"/>
      <c r="X54" s="39"/>
      <c r="Z54" s="39"/>
      <c r="AB54" s="39"/>
      <c r="AD54" s="24" t="s">
        <v>30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</row>
    <row r="55" spans="2:119" ht="25" customHeight="1" x14ac:dyDescent="0.3">
      <c r="B55" s="47" t="s">
        <v>322</v>
      </c>
      <c r="C55" s="40" t="s">
        <v>254</v>
      </c>
      <c r="E55" s="39"/>
      <c r="V55" s="39"/>
      <c r="X55" s="39"/>
      <c r="Z55" s="39"/>
      <c r="AB55" s="39" t="s">
        <v>272</v>
      </c>
      <c r="AD55" s="23" t="s">
        <v>31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</row>
    <row r="56" spans="2:119" ht="25" customHeight="1" x14ac:dyDescent="0.3">
      <c r="B56" s="47" t="s">
        <v>323</v>
      </c>
      <c r="C56" s="40" t="s">
        <v>255</v>
      </c>
      <c r="E56" s="39"/>
      <c r="V56" s="39"/>
      <c r="X56" s="39"/>
      <c r="Z56" s="39"/>
      <c r="AB56" s="39" t="s">
        <v>272</v>
      </c>
      <c r="AD56" s="23" t="s">
        <v>31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</row>
    <row r="57" spans="2:119" ht="25" customHeight="1" x14ac:dyDescent="0.3">
      <c r="B57" s="47" t="s">
        <v>324</v>
      </c>
      <c r="C57" s="40" t="s">
        <v>256</v>
      </c>
      <c r="E57" s="39"/>
      <c r="V57" s="39"/>
      <c r="X57" s="39"/>
      <c r="Z57" s="39"/>
      <c r="AB57" s="39" t="s">
        <v>272</v>
      </c>
      <c r="AD57" s="23" t="s">
        <v>31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</row>
    <row r="58" spans="2:119" ht="25" customHeight="1" x14ac:dyDescent="0.3">
      <c r="B58" s="47" t="s">
        <v>325</v>
      </c>
      <c r="C58" s="40" t="s">
        <v>260</v>
      </c>
      <c r="E58" s="39"/>
      <c r="V58" s="39"/>
      <c r="X58" s="39"/>
      <c r="Z58" s="39"/>
      <c r="AB58" s="39" t="s">
        <v>272</v>
      </c>
      <c r="AD58" s="23" t="s">
        <v>31</v>
      </c>
      <c r="AF58" s="7"/>
      <c r="AG58" s="5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</row>
    <row r="59" spans="2:119" ht="25" customHeight="1" x14ac:dyDescent="0.3">
      <c r="B59" s="47" t="s">
        <v>326</v>
      </c>
      <c r="C59" s="40" t="s">
        <v>261</v>
      </c>
      <c r="E59" s="39"/>
      <c r="V59" s="39"/>
      <c r="X59" s="39"/>
      <c r="Z59" s="39"/>
      <c r="AB59" s="39" t="s">
        <v>272</v>
      </c>
      <c r="AD59" s="23" t="s">
        <v>31</v>
      </c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</row>
    <row r="60" spans="2:119" ht="25" customHeight="1" x14ac:dyDescent="0.3">
      <c r="B60" s="47" t="s">
        <v>327</v>
      </c>
      <c r="C60" s="40" t="s">
        <v>262</v>
      </c>
      <c r="E60" s="39"/>
      <c r="V60" s="39"/>
      <c r="X60" s="39"/>
      <c r="Z60" s="39"/>
      <c r="AB60" s="39" t="s">
        <v>272</v>
      </c>
      <c r="AD60" s="23" t="s">
        <v>31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</row>
    <row r="61" spans="2:119" ht="25" customHeight="1" x14ac:dyDescent="0.3">
      <c r="B61" s="47" t="s">
        <v>328</v>
      </c>
      <c r="C61" s="40" t="s">
        <v>263</v>
      </c>
      <c r="E61" s="39"/>
      <c r="V61" s="39"/>
      <c r="X61" s="39"/>
      <c r="Z61" s="39"/>
      <c r="AB61" s="39" t="s">
        <v>272</v>
      </c>
      <c r="AD61" s="23" t="s">
        <v>31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</row>
    <row r="62" spans="2:119" ht="25" customHeight="1" x14ac:dyDescent="0.3">
      <c r="B62" s="47" t="s">
        <v>329</v>
      </c>
      <c r="C62" s="40" t="s">
        <v>264</v>
      </c>
      <c r="E62" s="39"/>
      <c r="V62" s="39"/>
      <c r="X62" s="39"/>
      <c r="Z62" s="39"/>
      <c r="AB62" s="39" t="s">
        <v>272</v>
      </c>
      <c r="AD62" s="23" t="s">
        <v>31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</row>
    <row r="63" spans="2:119" ht="25" customHeight="1" x14ac:dyDescent="0.3">
      <c r="B63" s="47" t="s">
        <v>330</v>
      </c>
      <c r="C63" s="40" t="s">
        <v>265</v>
      </c>
      <c r="E63" s="39"/>
      <c r="V63" s="39"/>
      <c r="X63" s="39"/>
      <c r="Z63" s="39"/>
      <c r="AB63" s="39" t="s">
        <v>272</v>
      </c>
      <c r="AD63" s="23" t="s">
        <v>31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</row>
    <row r="64" spans="2:119" ht="25" customHeight="1" x14ac:dyDescent="0.3">
      <c r="B64" s="47" t="s">
        <v>331</v>
      </c>
      <c r="C64" s="40" t="s">
        <v>266</v>
      </c>
      <c r="E64" s="39"/>
      <c r="V64" s="39"/>
      <c r="X64" s="39"/>
      <c r="Z64" s="39"/>
      <c r="AB64" s="39" t="s">
        <v>272</v>
      </c>
      <c r="AD64" s="23" t="s">
        <v>31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</row>
    <row r="65" spans="2:119" ht="25" customHeight="1" x14ac:dyDescent="0.3">
      <c r="B65" s="47" t="s">
        <v>332</v>
      </c>
      <c r="C65" s="40" t="s">
        <v>267</v>
      </c>
      <c r="E65" s="39"/>
      <c r="V65" s="39"/>
      <c r="X65" s="39"/>
      <c r="Z65" s="39"/>
      <c r="AB65" s="39" t="s">
        <v>272</v>
      </c>
      <c r="AD65" s="23" t="s">
        <v>31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</row>
    <row r="66" spans="2:119" ht="25" customHeight="1" x14ac:dyDescent="0.3">
      <c r="B66" s="47" t="s">
        <v>333</v>
      </c>
      <c r="C66" s="40" t="s">
        <v>257</v>
      </c>
      <c r="E66" s="39"/>
      <c r="V66" s="39"/>
      <c r="X66" s="39"/>
      <c r="Z66" s="39"/>
      <c r="AB66" s="39" t="s">
        <v>273</v>
      </c>
      <c r="AD66" s="23" t="s">
        <v>31</v>
      </c>
      <c r="AF66" s="7"/>
      <c r="AG66" s="5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</row>
    <row r="67" spans="2:119" ht="25" customHeight="1" x14ac:dyDescent="0.3">
      <c r="B67" s="47" t="s">
        <v>334</v>
      </c>
      <c r="C67" s="40" t="s">
        <v>258</v>
      </c>
      <c r="E67" s="39"/>
      <c r="V67" s="39"/>
      <c r="X67" s="39"/>
      <c r="Z67" s="39"/>
      <c r="AB67" s="39" t="s">
        <v>273</v>
      </c>
      <c r="AD67" s="23" t="s">
        <v>31</v>
      </c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</row>
    <row r="68" spans="2:119" ht="25" customHeight="1" x14ac:dyDescent="0.3">
      <c r="B68" s="47" t="s">
        <v>335</v>
      </c>
      <c r="C68" s="40" t="s">
        <v>259</v>
      </c>
      <c r="E68" s="39"/>
      <c r="V68" s="39"/>
      <c r="X68" s="39"/>
      <c r="Z68" s="39"/>
      <c r="AB68" s="39" t="s">
        <v>273</v>
      </c>
      <c r="AD68" s="23" t="s">
        <v>31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</row>
    <row r="69" spans="2:119" ht="25" customHeight="1" x14ac:dyDescent="0.3">
      <c r="B69" s="47" t="s">
        <v>336</v>
      </c>
      <c r="C69" s="40" t="s">
        <v>268</v>
      </c>
      <c r="E69" s="39"/>
      <c r="V69" s="39"/>
      <c r="X69" s="39"/>
      <c r="Z69" s="39"/>
      <c r="AB69" s="39" t="s">
        <v>274</v>
      </c>
      <c r="AD69" s="23" t="s">
        <v>31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</row>
    <row r="70" spans="2:119" ht="25" customHeight="1" x14ac:dyDescent="0.3">
      <c r="B70" s="47" t="s">
        <v>337</v>
      </c>
      <c r="C70" s="40" t="s">
        <v>269</v>
      </c>
      <c r="E70" s="39"/>
      <c r="V70" s="39"/>
      <c r="X70" s="39"/>
      <c r="Z70" s="39"/>
      <c r="AB70" s="39" t="s">
        <v>274</v>
      </c>
      <c r="AD70" s="23" t="s">
        <v>31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</row>
    <row r="71" spans="2:119" ht="25" customHeight="1" x14ac:dyDescent="0.3">
      <c r="B71" s="47" t="s">
        <v>338</v>
      </c>
      <c r="C71" s="40" t="s">
        <v>270</v>
      </c>
      <c r="E71" s="39"/>
      <c r="V71" s="39"/>
      <c r="X71" s="39"/>
      <c r="Z71" s="39"/>
      <c r="AB71" s="39" t="s">
        <v>274</v>
      </c>
      <c r="AD71" s="23" t="s">
        <v>31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</row>
    <row r="72" spans="2:119" ht="25" customHeight="1" x14ac:dyDescent="0.3">
      <c r="B72" s="47" t="s">
        <v>339</v>
      </c>
      <c r="C72" s="40" t="s">
        <v>271</v>
      </c>
      <c r="E72" s="39"/>
      <c r="V72" s="39"/>
      <c r="X72" s="39"/>
      <c r="Z72" s="39"/>
      <c r="AB72" s="39" t="s">
        <v>274</v>
      </c>
      <c r="AD72" s="23" t="s">
        <v>31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</row>
    <row r="73" spans="2:119" ht="25" customHeight="1" x14ac:dyDescent="0.3">
      <c r="B73" s="47" t="s">
        <v>340</v>
      </c>
      <c r="C73" s="40" t="s">
        <v>368</v>
      </c>
      <c r="E73" s="39"/>
      <c r="V73" s="39"/>
      <c r="X73" s="39"/>
      <c r="Z73" s="39"/>
      <c r="AB73" s="39"/>
      <c r="AD73" s="23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</row>
    <row r="74" spans="2:119" ht="25" customHeight="1" x14ac:dyDescent="0.3">
      <c r="B74" s="47" t="s">
        <v>341</v>
      </c>
      <c r="C74" s="40" t="s">
        <v>296</v>
      </c>
      <c r="E74" s="39">
        <v>1</v>
      </c>
      <c r="V74" s="39"/>
      <c r="X74" s="39"/>
      <c r="Z74" s="39"/>
      <c r="AB74" s="39" t="s">
        <v>361</v>
      </c>
      <c r="AD74" s="23" t="s">
        <v>31</v>
      </c>
      <c r="AF74" s="7"/>
      <c r="AG74" s="5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</row>
    <row r="75" spans="2:119" ht="25" customHeight="1" x14ac:dyDescent="0.3">
      <c r="B75" s="47" t="s">
        <v>342</v>
      </c>
      <c r="C75" s="40" t="s">
        <v>297</v>
      </c>
      <c r="E75" s="39">
        <v>1</v>
      </c>
      <c r="V75" s="39"/>
      <c r="X75" s="39"/>
      <c r="Z75" s="39"/>
      <c r="AB75" s="39" t="s">
        <v>361</v>
      </c>
      <c r="AD75" s="23" t="s">
        <v>31</v>
      </c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</row>
    <row r="76" spans="2:119" ht="25" customHeight="1" x14ac:dyDescent="0.3">
      <c r="B76" s="47" t="s">
        <v>343</v>
      </c>
      <c r="C76" s="40" t="s">
        <v>299</v>
      </c>
      <c r="E76" s="39">
        <v>1</v>
      </c>
      <c r="V76" s="39"/>
      <c r="X76" s="39"/>
      <c r="Z76" s="39"/>
      <c r="AB76" s="39" t="s">
        <v>361</v>
      </c>
      <c r="AD76" s="23" t="s">
        <v>31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</row>
    <row r="77" spans="2:119" ht="25" customHeight="1" x14ac:dyDescent="0.3">
      <c r="B77" s="47" t="s">
        <v>344</v>
      </c>
      <c r="C77" s="40" t="s">
        <v>300</v>
      </c>
      <c r="E77" s="39">
        <v>1</v>
      </c>
      <c r="V77" s="39"/>
      <c r="X77" s="39"/>
      <c r="Z77" s="39"/>
      <c r="AB77" s="39" t="s">
        <v>301</v>
      </c>
      <c r="AD77" s="23" t="s">
        <v>31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</row>
    <row r="78" spans="2:119" ht="25" customHeight="1" x14ac:dyDescent="0.3">
      <c r="B78" s="47" t="s">
        <v>345</v>
      </c>
      <c r="C78" s="40" t="s">
        <v>302</v>
      </c>
      <c r="E78" s="39">
        <v>1</v>
      </c>
      <c r="V78" s="39"/>
      <c r="X78" s="39"/>
      <c r="Z78" s="39"/>
      <c r="AB78" s="39" t="s">
        <v>303</v>
      </c>
      <c r="AD78" s="23" t="s">
        <v>31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</row>
    <row r="79" spans="2:119" ht="25" customHeight="1" x14ac:dyDescent="0.3">
      <c r="B79" s="47" t="s">
        <v>346</v>
      </c>
      <c r="C79" s="40" t="s">
        <v>305</v>
      </c>
      <c r="E79" s="39">
        <v>1</v>
      </c>
      <c r="V79" s="39"/>
      <c r="X79" s="39"/>
      <c r="Z79" s="39"/>
      <c r="AB79" s="39" t="s">
        <v>361</v>
      </c>
      <c r="AD79" s="23" t="s">
        <v>31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</row>
    <row r="80" spans="2:119" ht="25" customHeight="1" x14ac:dyDescent="0.3">
      <c r="B80" s="47" t="s">
        <v>347</v>
      </c>
      <c r="C80" s="40" t="s">
        <v>304</v>
      </c>
      <c r="E80" s="39">
        <v>1</v>
      </c>
      <c r="V80" s="39"/>
      <c r="X80" s="39"/>
      <c r="Z80" s="39"/>
      <c r="AB80" s="39" t="s">
        <v>361</v>
      </c>
      <c r="AD80" s="23" t="s">
        <v>31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</row>
    <row r="81" spans="2:119" ht="25" customHeight="1" x14ac:dyDescent="0.3">
      <c r="B81" s="47" t="s">
        <v>348</v>
      </c>
      <c r="C81" s="40" t="s">
        <v>306</v>
      </c>
      <c r="E81" s="39">
        <v>1</v>
      </c>
      <c r="V81" s="39"/>
      <c r="X81" s="39"/>
      <c r="Z81" s="39"/>
      <c r="AB81" s="39" t="s">
        <v>361</v>
      </c>
      <c r="AD81" s="23" t="s">
        <v>31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</row>
    <row r="82" spans="2:119" ht="25" customHeight="1" x14ac:dyDescent="0.3">
      <c r="B82" s="47" t="s">
        <v>349</v>
      </c>
      <c r="C82" s="40" t="s">
        <v>307</v>
      </c>
      <c r="E82" s="39">
        <v>1</v>
      </c>
      <c r="V82" s="39"/>
      <c r="X82" s="39"/>
      <c r="Z82" s="39"/>
      <c r="AB82" s="39" t="s">
        <v>361</v>
      </c>
      <c r="AD82" s="23" t="s">
        <v>31</v>
      </c>
      <c r="AF82" s="7"/>
      <c r="AG82" s="5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</row>
    <row r="83" spans="2:119" ht="25" customHeight="1" x14ac:dyDescent="0.3">
      <c r="B83" s="47" t="s">
        <v>350</v>
      </c>
      <c r="C83" s="40" t="s">
        <v>308</v>
      </c>
      <c r="E83" s="39">
        <v>1</v>
      </c>
      <c r="V83" s="39"/>
      <c r="X83" s="39"/>
      <c r="Z83" s="39"/>
      <c r="AB83" s="39" t="s">
        <v>301</v>
      </c>
      <c r="AD83" s="23" t="s">
        <v>31</v>
      </c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</row>
    <row r="84" spans="2:119" ht="25" customHeight="1" x14ac:dyDescent="0.3">
      <c r="B84" s="47" t="s">
        <v>351</v>
      </c>
      <c r="C84" s="40" t="s">
        <v>309</v>
      </c>
      <c r="E84" s="39">
        <v>1</v>
      </c>
      <c r="V84" s="39"/>
      <c r="X84" s="39"/>
      <c r="Z84" s="39"/>
      <c r="AB84" s="39" t="s">
        <v>303</v>
      </c>
      <c r="AD84" s="23" t="s">
        <v>31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</row>
    <row r="85" spans="2:119" ht="25" customHeight="1" x14ac:dyDescent="0.3">
      <c r="B85" s="47" t="s">
        <v>352</v>
      </c>
      <c r="C85" s="40" t="s">
        <v>310</v>
      </c>
      <c r="E85" s="39">
        <v>1</v>
      </c>
      <c r="V85" s="39"/>
      <c r="X85" s="39"/>
      <c r="Z85" s="39"/>
      <c r="AB85" s="39" t="s">
        <v>361</v>
      </c>
      <c r="AD85" s="23" t="s">
        <v>31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</row>
    <row r="86" spans="2:119" ht="25" customHeight="1" x14ac:dyDescent="0.3">
      <c r="B86" s="47" t="s">
        <v>353</v>
      </c>
      <c r="C86" s="40" t="s">
        <v>311</v>
      </c>
      <c r="E86" s="39">
        <v>1</v>
      </c>
      <c r="V86" s="39"/>
      <c r="X86" s="39"/>
      <c r="Z86" s="39"/>
      <c r="AB86" s="39" t="s">
        <v>361</v>
      </c>
      <c r="AD86" s="23" t="s">
        <v>31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</row>
    <row r="87" spans="2:119" ht="25" customHeight="1" x14ac:dyDescent="0.3">
      <c r="B87" s="47" t="s">
        <v>354</v>
      </c>
      <c r="C87" s="40" t="s">
        <v>312</v>
      </c>
      <c r="E87" s="39">
        <v>2</v>
      </c>
      <c r="V87" s="39"/>
      <c r="X87" s="39"/>
      <c r="Z87" s="39"/>
      <c r="AB87" s="39" t="s">
        <v>361</v>
      </c>
      <c r="AD87" s="23" t="s">
        <v>31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</row>
    <row r="88" spans="2:119" ht="25" customHeight="1" x14ac:dyDescent="0.3">
      <c r="B88" s="47" t="s">
        <v>355</v>
      </c>
      <c r="C88" s="40" t="s">
        <v>313</v>
      </c>
      <c r="E88" s="39">
        <v>3</v>
      </c>
      <c r="V88" s="39"/>
      <c r="X88" s="39"/>
      <c r="Z88" s="39"/>
      <c r="AB88" s="39" t="s">
        <v>357</v>
      </c>
      <c r="AD88" s="23" t="s">
        <v>31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</row>
    <row r="89" spans="2:119" ht="25" customHeight="1" x14ac:dyDescent="0.3">
      <c r="B89" s="47" t="s">
        <v>356</v>
      </c>
      <c r="C89" s="40" t="s">
        <v>314</v>
      </c>
      <c r="E89" s="39">
        <v>1</v>
      </c>
      <c r="V89" s="39"/>
      <c r="X89" s="39"/>
      <c r="Z89" s="39"/>
      <c r="AB89" s="39" t="s">
        <v>301</v>
      </c>
      <c r="AD89" s="23" t="s">
        <v>31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</row>
    <row r="90" spans="2:119" ht="25" customHeight="1" x14ac:dyDescent="0.3">
      <c r="B90" s="47" t="s">
        <v>369</v>
      </c>
      <c r="C90" s="41" t="s">
        <v>315</v>
      </c>
      <c r="E90" s="39"/>
      <c r="V90" s="39"/>
      <c r="X90" s="39"/>
      <c r="Z90" s="39"/>
      <c r="AB90" s="39"/>
      <c r="AD90" s="23" t="s">
        <v>31</v>
      </c>
      <c r="AF90" s="7"/>
      <c r="AG90" s="5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</row>
    <row r="91" spans="2:119" ht="25" customHeight="1" x14ac:dyDescent="0.3">
      <c r="B91" s="46">
        <v>1.4</v>
      </c>
      <c r="C91" s="38" t="s">
        <v>358</v>
      </c>
      <c r="E91" s="39"/>
      <c r="V91" s="39"/>
      <c r="X91" s="39"/>
      <c r="Z91" s="39"/>
      <c r="AB91" s="39"/>
      <c r="AD91" s="23" t="s">
        <v>31</v>
      </c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</row>
    <row r="92" spans="2:119" ht="25" customHeight="1" x14ac:dyDescent="0.3">
      <c r="B92" s="46" t="s">
        <v>234</v>
      </c>
      <c r="C92" s="37" t="s">
        <v>359</v>
      </c>
      <c r="E92" s="39"/>
      <c r="V92" s="39"/>
      <c r="X92" s="39"/>
      <c r="Z92" s="39"/>
      <c r="AB92" s="39"/>
      <c r="AD92" s="23" t="s">
        <v>31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</row>
    <row r="93" spans="2:119" ht="25" customHeight="1" x14ac:dyDescent="0.3">
      <c r="B93" s="47" t="s">
        <v>252</v>
      </c>
      <c r="C93" s="40" t="s">
        <v>365</v>
      </c>
      <c r="E93" s="39"/>
      <c r="V93" s="39"/>
      <c r="X93" s="39"/>
      <c r="Z93" s="39"/>
      <c r="AB93" s="39"/>
      <c r="AD93" s="23" t="s">
        <v>31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</row>
    <row r="94" spans="2:119" ht="25" customHeight="1" x14ac:dyDescent="0.3">
      <c r="B94" s="47" t="s">
        <v>275</v>
      </c>
      <c r="C94" s="40" t="s">
        <v>384</v>
      </c>
      <c r="E94" s="39"/>
      <c r="V94" s="39"/>
      <c r="X94" s="39"/>
      <c r="Z94" s="39"/>
      <c r="AB94" s="39" t="s">
        <v>361</v>
      </c>
      <c r="AD94" s="23" t="s">
        <v>31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</row>
    <row r="95" spans="2:119" ht="25" customHeight="1" x14ac:dyDescent="0.3">
      <c r="B95" s="47" t="s">
        <v>276</v>
      </c>
      <c r="C95" s="40" t="s">
        <v>385</v>
      </c>
      <c r="E95" s="39"/>
      <c r="V95" s="39"/>
      <c r="X95" s="39"/>
      <c r="Z95" s="39"/>
      <c r="AB95" s="39" t="s">
        <v>382</v>
      </c>
      <c r="AD95" s="23" t="s">
        <v>31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</row>
    <row r="96" spans="2:119" ht="25" customHeight="1" x14ac:dyDescent="0.3">
      <c r="B96" s="47" t="s">
        <v>277</v>
      </c>
      <c r="C96" s="40" t="s">
        <v>386</v>
      </c>
      <c r="E96" s="39"/>
      <c r="V96" s="39"/>
      <c r="X96" s="39"/>
      <c r="Z96" s="39"/>
      <c r="AB96" s="39" t="s">
        <v>383</v>
      </c>
      <c r="AD96" s="23" t="s">
        <v>31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</row>
    <row r="97" spans="2:119" ht="25" customHeight="1" x14ac:dyDescent="0.3">
      <c r="B97" s="47" t="s">
        <v>278</v>
      </c>
      <c r="C97" s="40" t="s">
        <v>391</v>
      </c>
      <c r="E97" s="39"/>
      <c r="V97" s="39"/>
      <c r="X97" s="39"/>
      <c r="Z97" s="39"/>
      <c r="AB97" s="39" t="s">
        <v>361</v>
      </c>
      <c r="AD97" s="23" t="s">
        <v>31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</row>
    <row r="98" spans="2:119" ht="25" customHeight="1" x14ac:dyDescent="0.3">
      <c r="B98" s="47" t="s">
        <v>279</v>
      </c>
      <c r="C98" s="40" t="s">
        <v>392</v>
      </c>
      <c r="E98" s="39"/>
      <c r="V98" s="39"/>
      <c r="X98" s="39"/>
      <c r="Z98" s="39"/>
      <c r="AB98" s="39" t="s">
        <v>361</v>
      </c>
      <c r="AD98" s="23" t="s">
        <v>31</v>
      </c>
      <c r="AF98" s="7"/>
      <c r="AG98" s="5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</row>
    <row r="99" spans="2:119" ht="25" customHeight="1" x14ac:dyDescent="0.3">
      <c r="B99" s="47" t="s">
        <v>280</v>
      </c>
      <c r="C99" s="40" t="s">
        <v>387</v>
      </c>
      <c r="E99" s="39">
        <v>7</v>
      </c>
      <c r="V99" s="39"/>
      <c r="X99" s="39"/>
      <c r="Z99" s="39"/>
      <c r="AB99" s="39" t="s">
        <v>383</v>
      </c>
      <c r="AD99" s="23" t="s">
        <v>31</v>
      </c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</row>
    <row r="100" spans="2:119" ht="25" customHeight="1" x14ac:dyDescent="0.3">
      <c r="B100" s="47" t="s">
        <v>281</v>
      </c>
      <c r="C100" s="40" t="s">
        <v>370</v>
      </c>
      <c r="E100" s="39"/>
      <c r="V100" s="39"/>
      <c r="X100" s="39"/>
      <c r="Z100" s="39"/>
      <c r="AB100" s="39" t="s">
        <v>272</v>
      </c>
      <c r="AD100" s="23" t="s">
        <v>31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</row>
    <row r="101" spans="2:119" ht="25" customHeight="1" x14ac:dyDescent="0.3">
      <c r="B101" s="47" t="s">
        <v>282</v>
      </c>
      <c r="C101" s="40" t="s">
        <v>371</v>
      </c>
      <c r="E101" s="39"/>
      <c r="V101" s="39"/>
      <c r="X101" s="39"/>
      <c r="Z101" s="39"/>
      <c r="AB101" s="39" t="s">
        <v>377</v>
      </c>
      <c r="AD101" s="23" t="s">
        <v>31</v>
      </c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</row>
    <row r="102" spans="2:119" ht="25" customHeight="1" x14ac:dyDescent="0.3">
      <c r="B102" s="47" t="s">
        <v>283</v>
      </c>
      <c r="C102" s="40" t="s">
        <v>372</v>
      </c>
      <c r="E102" s="39"/>
      <c r="V102" s="39"/>
      <c r="X102" s="39"/>
      <c r="Z102" s="39"/>
      <c r="AB102" s="39" t="s">
        <v>378</v>
      </c>
      <c r="AD102" s="23" t="s">
        <v>31</v>
      </c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</row>
    <row r="103" spans="2:119" ht="25" customHeight="1" x14ac:dyDescent="0.3">
      <c r="B103" s="47" t="s">
        <v>284</v>
      </c>
      <c r="C103" s="40" t="s">
        <v>373</v>
      </c>
      <c r="E103" s="39"/>
      <c r="V103" s="39"/>
      <c r="X103" s="39"/>
      <c r="Z103" s="39"/>
      <c r="AB103" s="39" t="s">
        <v>378</v>
      </c>
      <c r="AD103" s="23" t="s">
        <v>31</v>
      </c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</row>
    <row r="104" spans="2:119" ht="25" customHeight="1" x14ac:dyDescent="0.3">
      <c r="B104" s="47" t="s">
        <v>285</v>
      </c>
      <c r="C104" s="40" t="s">
        <v>374</v>
      </c>
      <c r="E104" s="39"/>
      <c r="V104" s="39"/>
      <c r="X104" s="39"/>
      <c r="Z104" s="39"/>
      <c r="AB104" s="39" t="s">
        <v>379</v>
      </c>
      <c r="AD104" s="23" t="s">
        <v>31</v>
      </c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</row>
    <row r="105" spans="2:119" ht="25" customHeight="1" x14ac:dyDescent="0.3">
      <c r="B105" s="47" t="s">
        <v>286</v>
      </c>
      <c r="C105" s="40" t="s">
        <v>375</v>
      </c>
      <c r="E105" s="39"/>
      <c r="V105" s="39"/>
      <c r="X105" s="39"/>
      <c r="Z105" s="39"/>
      <c r="AB105" s="39" t="s">
        <v>379</v>
      </c>
      <c r="AD105" s="23" t="s">
        <v>31</v>
      </c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</row>
    <row r="106" spans="2:119" ht="25" customHeight="1" x14ac:dyDescent="0.3">
      <c r="B106" s="47" t="s">
        <v>287</v>
      </c>
      <c r="C106" s="40" t="s">
        <v>376</v>
      </c>
      <c r="E106" s="39"/>
      <c r="V106" s="39"/>
      <c r="X106" s="39"/>
      <c r="Z106" s="39"/>
      <c r="AB106" s="39" t="s">
        <v>380</v>
      </c>
      <c r="AD106" s="23" t="s">
        <v>31</v>
      </c>
      <c r="AF106" s="7"/>
      <c r="AG106" s="5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</row>
    <row r="107" spans="2:119" ht="25" customHeight="1" x14ac:dyDescent="0.3">
      <c r="B107" s="47" t="s">
        <v>288</v>
      </c>
      <c r="C107" s="40" t="s">
        <v>393</v>
      </c>
      <c r="E107" s="39"/>
      <c r="V107" s="39"/>
      <c r="X107" s="39"/>
      <c r="Z107" s="39"/>
      <c r="AB107" s="39"/>
      <c r="AD107" s="23" t="s">
        <v>31</v>
      </c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</row>
    <row r="108" spans="2:119" ht="25" customHeight="1" x14ac:dyDescent="0.3">
      <c r="B108" s="47" t="s">
        <v>289</v>
      </c>
      <c r="C108" s="40" t="s">
        <v>366</v>
      </c>
      <c r="E108" s="39"/>
      <c r="V108" s="39"/>
      <c r="X108" s="39"/>
      <c r="Z108" s="39"/>
      <c r="AB108" s="39" t="s">
        <v>361</v>
      </c>
      <c r="AD108" s="23" t="s">
        <v>31</v>
      </c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</row>
    <row r="109" spans="2:119" ht="25" customHeight="1" x14ac:dyDescent="0.3">
      <c r="B109" s="47" t="s">
        <v>290</v>
      </c>
      <c r="C109" s="40" t="s">
        <v>367</v>
      </c>
      <c r="E109" s="39"/>
      <c r="V109" s="39"/>
      <c r="X109" s="39"/>
      <c r="Z109" s="39"/>
      <c r="AB109" s="39" t="s">
        <v>361</v>
      </c>
      <c r="AD109" s="23" t="s">
        <v>31</v>
      </c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</row>
    <row r="110" spans="2:119" ht="25" customHeight="1" x14ac:dyDescent="0.3">
      <c r="B110" s="47" t="s">
        <v>291</v>
      </c>
      <c r="C110" s="40" t="s">
        <v>360</v>
      </c>
      <c r="E110" s="39">
        <v>1</v>
      </c>
      <c r="V110" s="39"/>
      <c r="X110" s="39"/>
      <c r="Z110" s="39"/>
      <c r="AB110" s="39" t="s">
        <v>361</v>
      </c>
      <c r="AD110" s="23" t="s">
        <v>31</v>
      </c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</row>
    <row r="111" spans="2:119" ht="25" customHeight="1" x14ac:dyDescent="0.3">
      <c r="B111" s="47" t="s">
        <v>292</v>
      </c>
      <c r="C111" s="40" t="s">
        <v>362</v>
      </c>
      <c r="E111" s="39"/>
      <c r="V111" s="39"/>
      <c r="X111" s="39"/>
      <c r="Z111" s="39"/>
      <c r="AB111" s="39" t="s">
        <v>357</v>
      </c>
      <c r="AD111" s="23" t="s">
        <v>31</v>
      </c>
      <c r="AF111" s="7"/>
      <c r="AG111" s="5"/>
      <c r="AH111" s="5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</row>
    <row r="112" spans="2:119" ht="25" customHeight="1" x14ac:dyDescent="0.3">
      <c r="B112" s="47" t="s">
        <v>293</v>
      </c>
      <c r="C112" s="40" t="s">
        <v>363</v>
      </c>
      <c r="E112" s="39"/>
      <c r="V112" s="39"/>
      <c r="X112" s="39"/>
      <c r="Z112" s="39"/>
      <c r="AB112" s="39" t="s">
        <v>361</v>
      </c>
      <c r="AD112" s="23" t="s">
        <v>31</v>
      </c>
      <c r="AF112" s="7"/>
      <c r="AG112" s="5"/>
      <c r="AH112" s="5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</row>
    <row r="113" spans="2:119" ht="25" customHeight="1" x14ac:dyDescent="0.3">
      <c r="B113" s="47" t="s">
        <v>294</v>
      </c>
      <c r="C113" s="40" t="s">
        <v>364</v>
      </c>
      <c r="E113" s="39"/>
      <c r="V113" s="39"/>
      <c r="X113" s="39"/>
      <c r="Z113" s="39"/>
      <c r="AB113" s="39" t="s">
        <v>361</v>
      </c>
      <c r="AD113" s="23" t="s">
        <v>31</v>
      </c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</row>
    <row r="114" spans="2:119" ht="25" customHeight="1" x14ac:dyDescent="0.3">
      <c r="B114" s="47" t="s">
        <v>295</v>
      </c>
      <c r="C114" s="40" t="s">
        <v>381</v>
      </c>
      <c r="E114" s="39"/>
      <c r="V114" s="39"/>
      <c r="X114" s="39"/>
      <c r="Z114" s="39"/>
      <c r="AB114" s="39" t="s">
        <v>361</v>
      </c>
      <c r="AD114" s="23" t="s">
        <v>31</v>
      </c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</row>
    <row r="115" spans="2:119" ht="25" customHeight="1" x14ac:dyDescent="0.3">
      <c r="B115" s="47" t="s">
        <v>316</v>
      </c>
      <c r="C115" s="41" t="s">
        <v>388</v>
      </c>
      <c r="E115" s="39"/>
      <c r="V115" s="39"/>
      <c r="X115" s="39"/>
      <c r="Z115" s="39"/>
      <c r="AB115" s="39" t="s">
        <v>361</v>
      </c>
      <c r="AD115" s="23" t="s">
        <v>31</v>
      </c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</row>
    <row r="116" spans="2:119" ht="25" customHeight="1" x14ac:dyDescent="0.3">
      <c r="B116" s="46" t="s">
        <v>389</v>
      </c>
      <c r="C116" s="37" t="s">
        <v>390</v>
      </c>
      <c r="E116" s="39"/>
      <c r="V116" s="39"/>
      <c r="X116" s="39"/>
      <c r="Z116" s="39"/>
      <c r="AB116" s="39"/>
      <c r="AD116" s="23" t="s">
        <v>31</v>
      </c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</row>
    <row r="117" spans="2:119" ht="25" customHeight="1" x14ac:dyDescent="0.3">
      <c r="B117" s="47" t="s">
        <v>394</v>
      </c>
      <c r="C117" s="40" t="s">
        <v>397</v>
      </c>
      <c r="E117" s="39"/>
      <c r="V117" s="39"/>
      <c r="X117" s="39"/>
      <c r="Z117" s="39"/>
      <c r="AB117" s="39" t="s">
        <v>361</v>
      </c>
      <c r="AD117" s="23" t="s">
        <v>31</v>
      </c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</row>
    <row r="118" spans="2:119" ht="25" customHeight="1" x14ac:dyDescent="0.3">
      <c r="B118" s="47" t="s">
        <v>275</v>
      </c>
      <c r="C118" s="40" t="s">
        <v>396</v>
      </c>
      <c r="E118" s="39"/>
      <c r="V118" s="39"/>
      <c r="X118" s="39"/>
      <c r="Z118" s="39"/>
      <c r="AB118" s="39" t="s">
        <v>361</v>
      </c>
      <c r="AD118" s="23" t="s">
        <v>31</v>
      </c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</row>
    <row r="119" spans="2:119" ht="25" customHeight="1" thickBot="1" x14ac:dyDescent="0.35">
      <c r="B119" s="47" t="s">
        <v>276</v>
      </c>
      <c r="C119" s="40" t="s">
        <v>395</v>
      </c>
      <c r="E119" s="39"/>
      <c r="V119" s="39"/>
      <c r="X119" s="39"/>
      <c r="Z119" s="39"/>
      <c r="AB119" s="39" t="s">
        <v>361</v>
      </c>
      <c r="AD119" s="23" t="s">
        <v>31</v>
      </c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</row>
    <row r="120" spans="2:119" ht="25" customHeight="1" thickBot="1" x14ac:dyDescent="0.35">
      <c r="B120" s="47" t="s">
        <v>277</v>
      </c>
      <c r="C120" s="41" t="s">
        <v>398</v>
      </c>
      <c r="E120" s="39"/>
      <c r="V120" s="39"/>
      <c r="X120" s="39"/>
      <c r="Z120" s="39"/>
      <c r="AB120" s="39" t="s">
        <v>361</v>
      </c>
      <c r="AD120" s="23" t="s">
        <v>31</v>
      </c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</row>
    <row r="125" spans="2:119" x14ac:dyDescent="0.3">
      <c r="B125" s="247" t="s">
        <v>29</v>
      </c>
      <c r="C125" s="248"/>
    </row>
    <row r="126" spans="2:119" x14ac:dyDescent="0.3">
      <c r="B126" s="249" t="s">
        <v>609</v>
      </c>
      <c r="C126" s="250"/>
    </row>
    <row r="127" spans="2:119" x14ac:dyDescent="0.3">
      <c r="B127" s="247" t="s">
        <v>610</v>
      </c>
      <c r="C127" s="251"/>
    </row>
    <row r="128" spans="2:119" x14ac:dyDescent="0.3">
      <c r="B128" s="247" t="s">
        <v>31</v>
      </c>
      <c r="C128" s="252"/>
    </row>
    <row r="129" spans="2:35" x14ac:dyDescent="0.3">
      <c r="B129" s="247" t="s">
        <v>30</v>
      </c>
      <c r="C129" s="253"/>
    </row>
    <row r="130" spans="2:35" x14ac:dyDescent="0.3">
      <c r="AH130" s="22" t="s">
        <v>29</v>
      </c>
      <c r="AI130" s="22"/>
    </row>
    <row r="131" spans="2:35" x14ac:dyDescent="0.3">
      <c r="AH131" s="24" t="s">
        <v>30</v>
      </c>
      <c r="AI131" s="24"/>
    </row>
    <row r="132" spans="2:35" x14ac:dyDescent="0.3">
      <c r="AH132" s="23" t="s">
        <v>31</v>
      </c>
      <c r="AI132" s="23"/>
    </row>
  </sheetData>
  <autoFilter ref="A4:DO120" xr:uid="{6D9911E5-DFDA-8949-A121-D2DE9EC379C6}"/>
  <mergeCells count="1">
    <mergeCell ref="B2:BP2"/>
  </mergeCells>
  <pageMargins left="0.15748031496062992" right="0.15748031496062992" top="0.74803149606299213" bottom="0.74803149606299213" header="0.31496062992125984" footer="0.31496062992125984"/>
  <pageSetup paperSize="9" scale="45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Resumen Gral</vt:lpstr>
      <vt:lpstr>Diagrama Gantt</vt:lpstr>
      <vt:lpstr>Cronograma EQ</vt:lpstr>
      <vt:lpstr>CRONOGRAMA NEXTGEN</vt:lpstr>
      <vt:lpstr>EDT</vt:lpstr>
      <vt:lpstr>Cronograma EQ (1)</vt:lpstr>
      <vt:lpstr>Diagrama Gantt (EQ)</vt:lpstr>
      <vt:lpstr>'Cronograma EQ'!Área_de_impresión</vt:lpstr>
      <vt:lpstr>'Cronograma EQ (1)'!Área_de_impresión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Ruddy Jaramillo</dc:creator>
  <cp:keywords/>
  <dc:description/>
  <cp:lastModifiedBy>Oscar Ramirez</cp:lastModifiedBy>
  <cp:revision/>
  <dcterms:created xsi:type="dcterms:W3CDTF">2020-12-23T17:38:41Z</dcterms:created>
  <dcterms:modified xsi:type="dcterms:W3CDTF">2026-03-31T16:00:08Z</dcterms:modified>
  <cp:category/>
  <cp:contentStatus/>
</cp:coreProperties>
</file>